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Waste-to-Wealth Credit Optimizer\data\"/>
    </mc:Choice>
  </mc:AlternateContent>
  <xr:revisionPtr revIDLastSave="0" documentId="13_ncr:1_{49E91446-90FC-4948-9DA9-FAFB8868E2DB}" xr6:coauthVersionLast="47" xr6:coauthVersionMax="47" xr10:uidLastSave="{00000000-0000-0000-0000-000000000000}"/>
  <bookViews>
    <workbookView xWindow="0" yWindow="360" windowWidth="23256" windowHeight="12456" activeTab="4" xr2:uid="{00000000-000D-0000-FFFF-FFFF00000000}"/>
  </bookViews>
  <sheets>
    <sheet name="Sheet1" sheetId="1" r:id="rId1"/>
    <sheet name="Ratio_Analysis" sheetId="2" r:id="rId2"/>
    <sheet name="Credit_Scorecard" sheetId="3" r:id="rId3"/>
    <sheet name="Sensitivity_Analysi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C12" i="5" s="1"/>
  <c r="G8" i="3"/>
  <c r="G9" i="3"/>
  <c r="G10" i="3"/>
  <c r="J6" i="5" s="1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2" i="3"/>
  <c r="J5" i="5"/>
  <c r="C5" i="5"/>
  <c r="B3" i="4"/>
  <c r="B4" i="4"/>
  <c r="B5" i="4"/>
  <c r="B6" i="4"/>
  <c r="B7" i="4"/>
  <c r="B8" i="4"/>
  <c r="B9" i="4"/>
  <c r="B10" i="4"/>
  <c r="B11" i="4"/>
  <c r="B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D2" i="3"/>
  <c r="E2" i="3"/>
  <c r="F2" i="3"/>
  <c r="C2" i="3"/>
  <c r="B2" i="3"/>
  <c r="A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E2" i="2"/>
  <c r="D2" i="2"/>
  <c r="C2" i="2"/>
  <c r="B2" i="2"/>
  <c r="A2" i="2"/>
  <c r="J11" i="5" l="1"/>
  <c r="J12" i="5"/>
  <c r="C6" i="5"/>
  <c r="J13" i="5"/>
  <c r="C13" i="5"/>
  <c r="C11" i="5"/>
</calcChain>
</file>

<file path=xl/sharedStrings.xml><?xml version="1.0" encoding="utf-8"?>
<sst xmlns="http://schemas.openxmlformats.org/spreadsheetml/2006/main" count="2549" uniqueCount="1039">
  <si>
    <t>Company_ID</t>
  </si>
  <si>
    <t>Company_Name</t>
  </si>
  <si>
    <t>State</t>
  </si>
  <si>
    <t>Years_Operation</t>
  </si>
  <si>
    <t>Employees</t>
  </si>
  <si>
    <t>Annual_Revenue_USD</t>
  </si>
  <si>
    <t>Profit_Margin_Pct</t>
  </si>
  <si>
    <t>Debt_to_Equity</t>
  </si>
  <si>
    <t>Cash_Flow_USD</t>
  </si>
  <si>
    <t>Loan_Amount_Requested_USD</t>
  </si>
  <si>
    <t>Monthly_Recycling_Tons</t>
  </si>
  <si>
    <t>Plant_Utilization_Pct</t>
  </si>
  <si>
    <t>Collection_Efficiency_Pct</t>
  </si>
  <si>
    <t>CO2_Saved_Tons</t>
  </si>
  <si>
    <t>Operational_Cost_USD</t>
  </si>
  <si>
    <t>Regulatory_Compliance_Score</t>
  </si>
  <si>
    <t>Previous_Default</t>
  </si>
  <si>
    <t>Credit_Score</t>
  </si>
  <si>
    <t>Risk_Category</t>
  </si>
  <si>
    <t>C001</t>
  </si>
  <si>
    <t>Garcia, Chase and Gonzalez</t>
  </si>
  <si>
    <t>Colorado</t>
  </si>
  <si>
    <t>No</t>
  </si>
  <si>
    <t>High</t>
  </si>
  <si>
    <t>C002</t>
  </si>
  <si>
    <t>Williams, Morgan and Sanders</t>
  </si>
  <si>
    <t>Georgia</t>
  </si>
  <si>
    <t>Yes</t>
  </si>
  <si>
    <t>Medium</t>
  </si>
  <si>
    <t>C003</t>
  </si>
  <si>
    <t>Mullen LLC</t>
  </si>
  <si>
    <t>Florida</t>
  </si>
  <si>
    <t>C004</t>
  </si>
  <si>
    <t>Roberts Ltd</t>
  </si>
  <si>
    <t>C005</t>
  </si>
  <si>
    <t>Jackson-Dunn</t>
  </si>
  <si>
    <t>C006</t>
  </si>
  <si>
    <t>Roberts-Sherman</t>
  </si>
  <si>
    <t>Texas</t>
  </si>
  <si>
    <t>C007</t>
  </si>
  <si>
    <t>Kline Inc</t>
  </si>
  <si>
    <t>New York</t>
  </si>
  <si>
    <t>C008</t>
  </si>
  <si>
    <t>Watson, Moore and Bryant</t>
  </si>
  <si>
    <t>Ohio</t>
  </si>
  <si>
    <t>C009</t>
  </si>
  <si>
    <t>Clay, Andersen and Gibson</t>
  </si>
  <si>
    <t>C010</t>
  </si>
  <si>
    <t>Brown-Oliver</t>
  </si>
  <si>
    <t>C011</t>
  </si>
  <si>
    <t>Baker Ltd</t>
  </si>
  <si>
    <t>C012</t>
  </si>
  <si>
    <t>Thomas-Ortega</t>
  </si>
  <si>
    <t>C013</t>
  </si>
  <si>
    <t>Watkins, Lucas and Brennan</t>
  </si>
  <si>
    <t>Arizona</t>
  </si>
  <si>
    <t>C014</t>
  </si>
  <si>
    <t>Rangel, Melton and Carter</t>
  </si>
  <si>
    <t>C015</t>
  </si>
  <si>
    <t>Howell, Gutierrez and Carter</t>
  </si>
  <si>
    <t>C016</t>
  </si>
  <si>
    <t>Nash Group</t>
  </si>
  <si>
    <t>C017</t>
  </si>
  <si>
    <t>Mckenzie, Morales and Reid</t>
  </si>
  <si>
    <t>California</t>
  </si>
  <si>
    <t>C018</t>
  </si>
  <si>
    <t>Webster and Sons</t>
  </si>
  <si>
    <t>C019</t>
  </si>
  <si>
    <t>Jenkins Ltd</t>
  </si>
  <si>
    <t>C020</t>
  </si>
  <si>
    <t>Robinson, Douglas and Smith</t>
  </si>
  <si>
    <t>C021</t>
  </si>
  <si>
    <t>Bonilla-Franco</t>
  </si>
  <si>
    <t>C022</t>
  </si>
  <si>
    <t>Nicholson LLC</t>
  </si>
  <si>
    <t>Illinois</t>
  </si>
  <si>
    <t>C023</t>
  </si>
  <si>
    <t>Gonzalez LLC</t>
  </si>
  <si>
    <t>C024</t>
  </si>
  <si>
    <t>Pineda-Little</t>
  </si>
  <si>
    <t>C025</t>
  </si>
  <si>
    <t>Franklin LLC</t>
  </si>
  <si>
    <t>C026</t>
  </si>
  <si>
    <t>Ortiz-Reid</t>
  </si>
  <si>
    <t>C027</t>
  </si>
  <si>
    <t>Nunez Group</t>
  </si>
  <si>
    <t>C028</t>
  </si>
  <si>
    <t>Hall, Davenport and Downs</t>
  </si>
  <si>
    <t>C029</t>
  </si>
  <si>
    <t>Mcknight, Johnson and Morris</t>
  </si>
  <si>
    <t>C030</t>
  </si>
  <si>
    <t>Obrien LLC</t>
  </si>
  <si>
    <t>C031</t>
  </si>
  <si>
    <t>Petty-Andrews</t>
  </si>
  <si>
    <t>C032</t>
  </si>
  <si>
    <t>Flores-Shepherd</t>
  </si>
  <si>
    <t>C033</t>
  </si>
  <si>
    <t>Baker, Richardson and Singh</t>
  </si>
  <si>
    <t>C034</t>
  </si>
  <si>
    <t>Stanley, Houston and Whitaker</t>
  </si>
  <si>
    <t>C035</t>
  </si>
  <si>
    <t>Miller Group</t>
  </si>
  <si>
    <t>C036</t>
  </si>
  <si>
    <t>Quinn-Porter</t>
  </si>
  <si>
    <t>C037</t>
  </si>
  <si>
    <t>Rodriguez Inc</t>
  </si>
  <si>
    <t>C038</t>
  </si>
  <si>
    <t>Reyes, Hurst and Gilbert</t>
  </si>
  <si>
    <t>C039</t>
  </si>
  <si>
    <t>Allen-Orozco</t>
  </si>
  <si>
    <t>Washington</t>
  </si>
  <si>
    <t>C040</t>
  </si>
  <si>
    <t>Martinez-Griffith</t>
  </si>
  <si>
    <t>C041</t>
  </si>
  <si>
    <t>Solis Group</t>
  </si>
  <si>
    <t>C042</t>
  </si>
  <si>
    <t>Mcguire Inc</t>
  </si>
  <si>
    <t>C043</t>
  </si>
  <si>
    <t>Freeman Ltd</t>
  </si>
  <si>
    <t>C044</t>
  </si>
  <si>
    <t>Holmes Ltd</t>
  </si>
  <si>
    <t>C045</t>
  </si>
  <si>
    <t>Harris Group</t>
  </si>
  <si>
    <t>C046</t>
  </si>
  <si>
    <t>Rosario Group</t>
  </si>
  <si>
    <t>C047</t>
  </si>
  <si>
    <t>Cole LLC</t>
  </si>
  <si>
    <t>C048</t>
  </si>
  <si>
    <t>Logan-Briggs</t>
  </si>
  <si>
    <t>C049</t>
  </si>
  <si>
    <t>Sandoval Ltd</t>
  </si>
  <si>
    <t>C050</t>
  </si>
  <si>
    <t>Baird, Henry and Stevens</t>
  </si>
  <si>
    <t>C051</t>
  </si>
  <si>
    <t>Greene and Sons</t>
  </si>
  <si>
    <t>C052</t>
  </si>
  <si>
    <t>Spencer Ltd</t>
  </si>
  <si>
    <t>Low</t>
  </si>
  <si>
    <t>C053</t>
  </si>
  <si>
    <t>Edwards-Davis</t>
  </si>
  <si>
    <t>C054</t>
  </si>
  <si>
    <t>Myers-Hall</t>
  </si>
  <si>
    <t>C055</t>
  </si>
  <si>
    <t>Hammond, Wood and Ramirez</t>
  </si>
  <si>
    <t>C056</t>
  </si>
  <si>
    <t>Figueroa-Young</t>
  </si>
  <si>
    <t>C057</t>
  </si>
  <si>
    <t>Owens, Nichols and Welch</t>
  </si>
  <si>
    <t>C058</t>
  </si>
  <si>
    <t>Lewis Group</t>
  </si>
  <si>
    <t>C059</t>
  </si>
  <si>
    <t>Clark and Sons</t>
  </si>
  <si>
    <t>C060</t>
  </si>
  <si>
    <t>Pacheco Ltd</t>
  </si>
  <si>
    <t>C061</t>
  </si>
  <si>
    <t>Johnson and Sons</t>
  </si>
  <si>
    <t>C062</t>
  </si>
  <si>
    <t>Jensen-Goodwin</t>
  </si>
  <si>
    <t>C063</t>
  </si>
  <si>
    <t>Vaughn Group</t>
  </si>
  <si>
    <t>C064</t>
  </si>
  <si>
    <t>Mccormick LLC</t>
  </si>
  <si>
    <t>C065</t>
  </si>
  <si>
    <t>Harrington-Weaver</t>
  </si>
  <si>
    <t>C066</t>
  </si>
  <si>
    <t>Powell, Rodriguez and Rosales</t>
  </si>
  <si>
    <t>C067</t>
  </si>
  <si>
    <t>Briggs, Lucas and Schroeder</t>
  </si>
  <si>
    <t>C068</t>
  </si>
  <si>
    <t>Williams, Thomas and Evans</t>
  </si>
  <si>
    <t>C069</t>
  </si>
  <si>
    <t>Brooks, Bradley and Blake</t>
  </si>
  <si>
    <t>C070</t>
  </si>
  <si>
    <t>Christensen-Brown</t>
  </si>
  <si>
    <t>C071</t>
  </si>
  <si>
    <t>Medina Group</t>
  </si>
  <si>
    <t>C072</t>
  </si>
  <si>
    <t>Rodriguez, Roberts and Bowman</t>
  </si>
  <si>
    <t>C073</t>
  </si>
  <si>
    <t>Lang Ltd</t>
  </si>
  <si>
    <t>C074</t>
  </si>
  <si>
    <t>Patterson, Townsend and Berry</t>
  </si>
  <si>
    <t>C075</t>
  </si>
  <si>
    <t>Estrada LLC</t>
  </si>
  <si>
    <t>C076</t>
  </si>
  <si>
    <t>Sullivan Inc</t>
  </si>
  <si>
    <t>C077</t>
  </si>
  <si>
    <t>Ibarra-Cross</t>
  </si>
  <si>
    <t>C078</t>
  </si>
  <si>
    <t>Harris PLC</t>
  </si>
  <si>
    <t>C079</t>
  </si>
  <si>
    <t>Paul LLC</t>
  </si>
  <si>
    <t>C080</t>
  </si>
  <si>
    <t>Conway, Reyes and Johnson</t>
  </si>
  <si>
    <t>C081</t>
  </si>
  <si>
    <t>Richardson and Sons</t>
  </si>
  <si>
    <t>C082</t>
  </si>
  <si>
    <t>Butler and Sons</t>
  </si>
  <si>
    <t>C083</t>
  </si>
  <si>
    <t>Davis-Baker</t>
  </si>
  <si>
    <t>C084</t>
  </si>
  <si>
    <t>Marquez, Turner and Jones</t>
  </si>
  <si>
    <t>C085</t>
  </si>
  <si>
    <t>Owens, Martin and Jennings</t>
  </si>
  <si>
    <t>C086</t>
  </si>
  <si>
    <t>Jones Inc</t>
  </si>
  <si>
    <t>C087</t>
  </si>
  <si>
    <t>Hart Group</t>
  </si>
  <si>
    <t>C088</t>
  </si>
  <si>
    <t>Lane, Fernandez and Bryant</t>
  </si>
  <si>
    <t>C089</t>
  </si>
  <si>
    <t>Cunningham, Hoffman and Smith</t>
  </si>
  <si>
    <t>C090</t>
  </si>
  <si>
    <t>Smith, Perkins and Hanson</t>
  </si>
  <si>
    <t>C091</t>
  </si>
  <si>
    <t>Davis LLC</t>
  </si>
  <si>
    <t>C092</t>
  </si>
  <si>
    <t>Woodward-Jackson</t>
  </si>
  <si>
    <t>C093</t>
  </si>
  <si>
    <t>Williams, Mullins and White</t>
  </si>
  <si>
    <t>C094</t>
  </si>
  <si>
    <t>Walker and Sons</t>
  </si>
  <si>
    <t>C095</t>
  </si>
  <si>
    <t>Hall Group</t>
  </si>
  <si>
    <t>C096</t>
  </si>
  <si>
    <t>Hunt-Dean</t>
  </si>
  <si>
    <t>C097</t>
  </si>
  <si>
    <t>Brown, Williams and Bennett</t>
  </si>
  <si>
    <t>C098</t>
  </si>
  <si>
    <t>Blackwell, Cox and Morales</t>
  </si>
  <si>
    <t>C099</t>
  </si>
  <si>
    <t>Martinez-Taylor</t>
  </si>
  <si>
    <t>C100</t>
  </si>
  <si>
    <t>Thomas Group</t>
  </si>
  <si>
    <t>C101</t>
  </si>
  <si>
    <t>Kline LLC</t>
  </si>
  <si>
    <t>C102</t>
  </si>
  <si>
    <t>Ramirez, Murray and Jennings</t>
  </si>
  <si>
    <t>C103</t>
  </si>
  <si>
    <t>Ortiz Ltd</t>
  </si>
  <si>
    <t>C104</t>
  </si>
  <si>
    <t>Gonzalez-Jordan</t>
  </si>
  <si>
    <t>C105</t>
  </si>
  <si>
    <t>Reyes, Taylor and Ayala</t>
  </si>
  <si>
    <t>C106</t>
  </si>
  <si>
    <t>Aguilar-Francis</t>
  </si>
  <si>
    <t>C107</t>
  </si>
  <si>
    <t>Martinez, Martinez and Wilcox</t>
  </si>
  <si>
    <t>C108</t>
  </si>
  <si>
    <t>Alexander-Gardner</t>
  </si>
  <si>
    <t>C109</t>
  </si>
  <si>
    <t>Taylor and Sons</t>
  </si>
  <si>
    <t>C110</t>
  </si>
  <si>
    <t>Lane-Williams</t>
  </si>
  <si>
    <t>C111</t>
  </si>
  <si>
    <t>Walton Inc</t>
  </si>
  <si>
    <t>C112</t>
  </si>
  <si>
    <t>Perry LLC</t>
  </si>
  <si>
    <t>C113</t>
  </si>
  <si>
    <t>Reeves Group</t>
  </si>
  <si>
    <t>C114</t>
  </si>
  <si>
    <t>Mcdonald PLC</t>
  </si>
  <si>
    <t>C115</t>
  </si>
  <si>
    <t>Robinson-Bowman</t>
  </si>
  <si>
    <t>C116</t>
  </si>
  <si>
    <t>Price, Johnson and Martinez</t>
  </si>
  <si>
    <t>C117</t>
  </si>
  <si>
    <t>Jones-Martinez</t>
  </si>
  <si>
    <t>C118</t>
  </si>
  <si>
    <t>Douglas and Sons</t>
  </si>
  <si>
    <t>C119</t>
  </si>
  <si>
    <t>White and Sons</t>
  </si>
  <si>
    <t>C120</t>
  </si>
  <si>
    <t>Glenn-Cordova</t>
  </si>
  <si>
    <t>C121</t>
  </si>
  <si>
    <t>Molina-Franklin</t>
  </si>
  <si>
    <t>C122</t>
  </si>
  <si>
    <t>Williams-Hernandez</t>
  </si>
  <si>
    <t>C123</t>
  </si>
  <si>
    <t>Vaughn, Atkinson and Perez</t>
  </si>
  <si>
    <t>C124</t>
  </si>
  <si>
    <t>Brooks-Stanley</t>
  </si>
  <si>
    <t>C125</t>
  </si>
  <si>
    <t>Perez-Campos</t>
  </si>
  <si>
    <t>C126</t>
  </si>
  <si>
    <t>Malone Group</t>
  </si>
  <si>
    <t>C127</t>
  </si>
  <si>
    <t>Warren Inc</t>
  </si>
  <si>
    <t>C128</t>
  </si>
  <si>
    <t>May, Peters and Jones</t>
  </si>
  <si>
    <t>C129</t>
  </si>
  <si>
    <t>Wells Group</t>
  </si>
  <si>
    <t>C130</t>
  </si>
  <si>
    <t>Carter LLC</t>
  </si>
  <si>
    <t>C131</t>
  </si>
  <si>
    <t>Hanna Inc</t>
  </si>
  <si>
    <t>C132</t>
  </si>
  <si>
    <t>Cervantes-Williams</t>
  </si>
  <si>
    <t>C133</t>
  </si>
  <si>
    <t>Collins-Beck</t>
  </si>
  <si>
    <t>C134</t>
  </si>
  <si>
    <t>Jones-Potter</t>
  </si>
  <si>
    <t>C135</t>
  </si>
  <si>
    <t>Anderson, Reilly and Velasquez</t>
  </si>
  <si>
    <t>C136</t>
  </si>
  <si>
    <t>Fitzpatrick, Ramirez and Mayer</t>
  </si>
  <si>
    <t>C137</t>
  </si>
  <si>
    <t>Brown Inc</t>
  </si>
  <si>
    <t>C138</t>
  </si>
  <si>
    <t>Reynolds-Peters</t>
  </si>
  <si>
    <t>C139</t>
  </si>
  <si>
    <t>Washington, Parker and Cox</t>
  </si>
  <si>
    <t>C140</t>
  </si>
  <si>
    <t>Sanchez, Brown and Craig</t>
  </si>
  <si>
    <t>C141</t>
  </si>
  <si>
    <t>Ashley, Faulkner and Castaneda</t>
  </si>
  <si>
    <t>C142</t>
  </si>
  <si>
    <t>Francis-Reynolds</t>
  </si>
  <si>
    <t>C143</t>
  </si>
  <si>
    <t>Rogers, George and Matthews</t>
  </si>
  <si>
    <t>C144</t>
  </si>
  <si>
    <t>Howard, Callahan and Johnson</t>
  </si>
  <si>
    <t>C145</t>
  </si>
  <si>
    <t>Harrison-Gonzalez</t>
  </si>
  <si>
    <t>C146</t>
  </si>
  <si>
    <t>Sherman, Richard and Maynard</t>
  </si>
  <si>
    <t>C147</t>
  </si>
  <si>
    <t>House-Green</t>
  </si>
  <si>
    <t>C148</t>
  </si>
  <si>
    <t>Holland, Smith and Sanders</t>
  </si>
  <si>
    <t>C149</t>
  </si>
  <si>
    <t>Petersen-Brown</t>
  </si>
  <si>
    <t>C150</t>
  </si>
  <si>
    <t>Bishop LLC</t>
  </si>
  <si>
    <t>C151</t>
  </si>
  <si>
    <t>Jensen-Rocha</t>
  </si>
  <si>
    <t>C152</t>
  </si>
  <si>
    <t>Mccarty, Underwood and Nash</t>
  </si>
  <si>
    <t>C153</t>
  </si>
  <si>
    <t>Martin, Love and Nelson</t>
  </si>
  <si>
    <t>C154</t>
  </si>
  <si>
    <t>Ray, Anderson and Smith</t>
  </si>
  <si>
    <t>C155</t>
  </si>
  <si>
    <t>Morris Ltd</t>
  </si>
  <si>
    <t>C156</t>
  </si>
  <si>
    <t>Adams PLC</t>
  </si>
  <si>
    <t>C157</t>
  </si>
  <si>
    <t>Wilkins, Walsh and Paul</t>
  </si>
  <si>
    <t>C158</t>
  </si>
  <si>
    <t>Cook-Bennett</t>
  </si>
  <si>
    <t>C159</t>
  </si>
  <si>
    <t>Ruiz Inc</t>
  </si>
  <si>
    <t>C160</t>
  </si>
  <si>
    <t>Ray, Wright and Wood</t>
  </si>
  <si>
    <t>C161</t>
  </si>
  <si>
    <t>Smith-Shannon</t>
  </si>
  <si>
    <t>C162</t>
  </si>
  <si>
    <t>Nash-Owen</t>
  </si>
  <si>
    <t>C163</t>
  </si>
  <si>
    <t>Johnson-Hoffman</t>
  </si>
  <si>
    <t>C164</t>
  </si>
  <si>
    <t>Ruiz, Williams and Jackson</t>
  </si>
  <si>
    <t>C165</t>
  </si>
  <si>
    <t>Vargas, Kelly and Washington</t>
  </si>
  <si>
    <t>C166</t>
  </si>
  <si>
    <t>Clark, Sullivan and Bird</t>
  </si>
  <si>
    <t>C167</t>
  </si>
  <si>
    <t>Bell Inc</t>
  </si>
  <si>
    <t>C168</t>
  </si>
  <si>
    <t>Williams and Sons</t>
  </si>
  <si>
    <t>C169</t>
  </si>
  <si>
    <t>Mendoza LLC</t>
  </si>
  <si>
    <t>C170</t>
  </si>
  <si>
    <t>Ramirez Ltd</t>
  </si>
  <si>
    <t>C171</t>
  </si>
  <si>
    <t>Terrell Inc</t>
  </si>
  <si>
    <t>C172</t>
  </si>
  <si>
    <t>Gordon-Spence</t>
  </si>
  <si>
    <t>C173</t>
  </si>
  <si>
    <t>Paul PLC</t>
  </si>
  <si>
    <t>C174</t>
  </si>
  <si>
    <t>Kane-Castaneda</t>
  </si>
  <si>
    <t>C175</t>
  </si>
  <si>
    <t>C176</t>
  </si>
  <si>
    <t>Mendez-Williams</t>
  </si>
  <si>
    <t>C177</t>
  </si>
  <si>
    <t>Coleman-Barber</t>
  </si>
  <si>
    <t>C178</t>
  </si>
  <si>
    <t>Harvey-Baker</t>
  </si>
  <si>
    <t>C179</t>
  </si>
  <si>
    <t>Baker, Wood and Richard</t>
  </si>
  <si>
    <t>C180</t>
  </si>
  <si>
    <t>Duran Ltd</t>
  </si>
  <si>
    <t>C181</t>
  </si>
  <si>
    <t>Murray, Wright and Jensen</t>
  </si>
  <si>
    <t>C182</t>
  </si>
  <si>
    <t>Davis and Sons</t>
  </si>
  <si>
    <t>C183</t>
  </si>
  <si>
    <t>Conley, Wood and Cruz</t>
  </si>
  <si>
    <t>C184</t>
  </si>
  <si>
    <t>Gomez LLC</t>
  </si>
  <si>
    <t>C185</t>
  </si>
  <si>
    <t>Brooks-Porter</t>
  </si>
  <si>
    <t>C186</t>
  </si>
  <si>
    <t>Parker-Norris</t>
  </si>
  <si>
    <t>C187</t>
  </si>
  <si>
    <t>Walter, Rosales and Morales</t>
  </si>
  <si>
    <t>C188</t>
  </si>
  <si>
    <t>Palmer PLC</t>
  </si>
  <si>
    <t>C189</t>
  </si>
  <si>
    <t>Munoz Group</t>
  </si>
  <si>
    <t>C190</t>
  </si>
  <si>
    <t>Whitaker-Meyer</t>
  </si>
  <si>
    <t>C191</t>
  </si>
  <si>
    <t>Williams LLC</t>
  </si>
  <si>
    <t>C192</t>
  </si>
  <si>
    <t>Estrada-Juarez</t>
  </si>
  <si>
    <t>C193</t>
  </si>
  <si>
    <t>Kelly, Ruiz and Jones</t>
  </si>
  <si>
    <t>C194</t>
  </si>
  <si>
    <t>Parker-Carter</t>
  </si>
  <si>
    <t>C195</t>
  </si>
  <si>
    <t>Barton Inc</t>
  </si>
  <si>
    <t>C196</t>
  </si>
  <si>
    <t>Ramsey LLC</t>
  </si>
  <si>
    <t>C197</t>
  </si>
  <si>
    <t>Peterson, Morse and Miller</t>
  </si>
  <si>
    <t>C198</t>
  </si>
  <si>
    <t>Munoz-Kelly</t>
  </si>
  <si>
    <t>C199</t>
  </si>
  <si>
    <t>Jordan-Stone</t>
  </si>
  <si>
    <t>C200</t>
  </si>
  <si>
    <t>Crawford-White</t>
  </si>
  <si>
    <t>C201</t>
  </si>
  <si>
    <t>Jensen LLC</t>
  </si>
  <si>
    <t>C202</t>
  </si>
  <si>
    <t>Palmer-Johnson</t>
  </si>
  <si>
    <t>C203</t>
  </si>
  <si>
    <t>Flores PLC</t>
  </si>
  <si>
    <t>C204</t>
  </si>
  <si>
    <t>Bell PLC</t>
  </si>
  <si>
    <t>C205</t>
  </si>
  <si>
    <t>Fletcher-Durham</t>
  </si>
  <si>
    <t>C206</t>
  </si>
  <si>
    <t>Miller-King</t>
  </si>
  <si>
    <t>C207</t>
  </si>
  <si>
    <t>Alexander, Christensen and Johnson</t>
  </si>
  <si>
    <t>C208</t>
  </si>
  <si>
    <t>Miller, Thompson and Pope</t>
  </si>
  <si>
    <t>C209</t>
  </si>
  <si>
    <t>Roberts Group</t>
  </si>
  <si>
    <t>C210</t>
  </si>
  <si>
    <t>Petersen-Mccormick</t>
  </si>
  <si>
    <t>C211</t>
  </si>
  <si>
    <t>Hood-Vang</t>
  </si>
  <si>
    <t>C212</t>
  </si>
  <si>
    <t>Payne and Sons</t>
  </si>
  <si>
    <t>C213</t>
  </si>
  <si>
    <t>Walters-Grant</t>
  </si>
  <si>
    <t>C214</t>
  </si>
  <si>
    <t>Nelson, Johnson and Miller</t>
  </si>
  <si>
    <t>C215</t>
  </si>
  <si>
    <t>Perez Inc</t>
  </si>
  <si>
    <t>C216</t>
  </si>
  <si>
    <t>Gordon, Mcguire and Vasquez</t>
  </si>
  <si>
    <t>C217</t>
  </si>
  <si>
    <t>White-Tyler</t>
  </si>
  <si>
    <t>C218</t>
  </si>
  <si>
    <t>Turner, Summers and Lynch</t>
  </si>
  <si>
    <t>C219</t>
  </si>
  <si>
    <t>Davenport-May</t>
  </si>
  <si>
    <t>C220</t>
  </si>
  <si>
    <t>Perez-Wilson</t>
  </si>
  <si>
    <t>C221</t>
  </si>
  <si>
    <t>Harris, Gonzalez and Howell</t>
  </si>
  <si>
    <t>C222</t>
  </si>
  <si>
    <t>Price Group</t>
  </si>
  <si>
    <t>C223</t>
  </si>
  <si>
    <t>Miller-Guzman</t>
  </si>
  <si>
    <t>C224</t>
  </si>
  <si>
    <t>Martinez-Buchanan</t>
  </si>
  <si>
    <t>C225</t>
  </si>
  <si>
    <t>Sullivan-Cruz</t>
  </si>
  <si>
    <t>C226</t>
  </si>
  <si>
    <t>Whitney, Rice and Flores</t>
  </si>
  <si>
    <t>C227</t>
  </si>
  <si>
    <t>Alexander, Gonzalez and Smith</t>
  </si>
  <si>
    <t>C228</t>
  </si>
  <si>
    <t>Bailey Group</t>
  </si>
  <si>
    <t>C229</t>
  </si>
  <si>
    <t>Hunt Ltd</t>
  </si>
  <si>
    <t>C230</t>
  </si>
  <si>
    <t>Beard-Barton</t>
  </si>
  <si>
    <t>C231</t>
  </si>
  <si>
    <t>Castaneda-Johnson</t>
  </si>
  <si>
    <t>C232</t>
  </si>
  <si>
    <t>White-Delacruz</t>
  </si>
  <si>
    <t>C233</t>
  </si>
  <si>
    <t>Foster Ltd</t>
  </si>
  <si>
    <t>C234</t>
  </si>
  <si>
    <t>Rice-Peterson</t>
  </si>
  <si>
    <t>C235</t>
  </si>
  <si>
    <t>Arnold Ltd</t>
  </si>
  <si>
    <t>C236</t>
  </si>
  <si>
    <t>Simmons Ltd</t>
  </si>
  <si>
    <t>C237</t>
  </si>
  <si>
    <t>Green-Watson</t>
  </si>
  <si>
    <t>C238</t>
  </si>
  <si>
    <t>Mercer, Fernandez and Harris</t>
  </si>
  <si>
    <t>C239</t>
  </si>
  <si>
    <t>Jackson, Mendoza and Evans</t>
  </si>
  <si>
    <t>C240</t>
  </si>
  <si>
    <t>Charles Inc</t>
  </si>
  <si>
    <t>C241</t>
  </si>
  <si>
    <t>Richmond-Lee</t>
  </si>
  <si>
    <t>C242</t>
  </si>
  <si>
    <t>Howard Ltd</t>
  </si>
  <si>
    <t>C243</t>
  </si>
  <si>
    <t>Vega, Santos and Johnson</t>
  </si>
  <si>
    <t>C244</t>
  </si>
  <si>
    <t>Blair-Velazquez</t>
  </si>
  <si>
    <t>C245</t>
  </si>
  <si>
    <t>Ross Ltd</t>
  </si>
  <si>
    <t>C246</t>
  </si>
  <si>
    <t>Riley-Snow</t>
  </si>
  <si>
    <t>C247</t>
  </si>
  <si>
    <t>Scott LLC</t>
  </si>
  <si>
    <t>C248</t>
  </si>
  <si>
    <t>Medina LLC</t>
  </si>
  <si>
    <t>C249</t>
  </si>
  <si>
    <t>Stewart-Gordon</t>
  </si>
  <si>
    <t>C250</t>
  </si>
  <si>
    <t>Johnson-Weeks</t>
  </si>
  <si>
    <t>C251</t>
  </si>
  <si>
    <t>Burke Inc</t>
  </si>
  <si>
    <t>C252</t>
  </si>
  <si>
    <t>Gay, Martin and Morgan</t>
  </si>
  <si>
    <t>C253</t>
  </si>
  <si>
    <t>Diaz, Wilson and Buckley</t>
  </si>
  <si>
    <t>C254</t>
  </si>
  <si>
    <t>Arnold and Sons</t>
  </si>
  <si>
    <t>C255</t>
  </si>
  <si>
    <t>Carpenter-Watts</t>
  </si>
  <si>
    <t>C256</t>
  </si>
  <si>
    <t>C257</t>
  </si>
  <si>
    <t>Ortiz, Wood and Cox</t>
  </si>
  <si>
    <t>C258</t>
  </si>
  <si>
    <t>Thomas, Freeman and Mendoza</t>
  </si>
  <si>
    <t>C259</t>
  </si>
  <si>
    <t>Jensen-Cherry</t>
  </si>
  <si>
    <t>C260</t>
  </si>
  <si>
    <t>Stephenson Group</t>
  </si>
  <si>
    <t>C261</t>
  </si>
  <si>
    <t>Hawkins Ltd</t>
  </si>
  <si>
    <t>C262</t>
  </si>
  <si>
    <t>Love, Page and Garcia</t>
  </si>
  <si>
    <t>C263</t>
  </si>
  <si>
    <t>Gonzalez Group</t>
  </si>
  <si>
    <t>C264</t>
  </si>
  <si>
    <t>Estes, Carter and Garcia</t>
  </si>
  <si>
    <t>C265</t>
  </si>
  <si>
    <t>Ingram, Morales and Gilbert</t>
  </si>
  <si>
    <t>C266</t>
  </si>
  <si>
    <t>Butler-Russell</t>
  </si>
  <si>
    <t>C267</t>
  </si>
  <si>
    <t>Rice, Richardson and Holland</t>
  </si>
  <si>
    <t>C268</t>
  </si>
  <si>
    <t>Carr-Carr</t>
  </si>
  <si>
    <t>C269</t>
  </si>
  <si>
    <t>Garcia-Davis</t>
  </si>
  <si>
    <t>C270</t>
  </si>
  <si>
    <t>Woodward Inc</t>
  </si>
  <si>
    <t>C271</t>
  </si>
  <si>
    <t>Hood-Carroll</t>
  </si>
  <si>
    <t>C272</t>
  </si>
  <si>
    <t>Spears, Jacobs and Allen</t>
  </si>
  <si>
    <t>C273</t>
  </si>
  <si>
    <t>Hudson PLC</t>
  </si>
  <si>
    <t>C274</t>
  </si>
  <si>
    <t>Bennett LLC</t>
  </si>
  <si>
    <t>C275</t>
  </si>
  <si>
    <t>Nichols, Orr and Rosario</t>
  </si>
  <si>
    <t>C276</t>
  </si>
  <si>
    <t>Peterson LLC</t>
  </si>
  <si>
    <t>C277</t>
  </si>
  <si>
    <t>Pollard-Cisneros</t>
  </si>
  <si>
    <t>C278</t>
  </si>
  <si>
    <t>Davidson PLC</t>
  </si>
  <si>
    <t>C279</t>
  </si>
  <si>
    <t>Erickson-Dean</t>
  </si>
  <si>
    <t>C280</t>
  </si>
  <si>
    <t>Wade, Walker and Baldwin</t>
  </si>
  <si>
    <t>C281</t>
  </si>
  <si>
    <t>Bush, Nguyen and Gamble</t>
  </si>
  <si>
    <t>C282</t>
  </si>
  <si>
    <t>Hansen and Sons</t>
  </si>
  <si>
    <t>C283</t>
  </si>
  <si>
    <t>Wallace-Lewis</t>
  </si>
  <si>
    <t>C284</t>
  </si>
  <si>
    <t>House, Lara and Rogers</t>
  </si>
  <si>
    <t>C285</t>
  </si>
  <si>
    <t>Campbell Group</t>
  </si>
  <si>
    <t>C286</t>
  </si>
  <si>
    <t>Lamb, Kelley and Peterson</t>
  </si>
  <si>
    <t>C287</t>
  </si>
  <si>
    <t>Martin-Holden</t>
  </si>
  <si>
    <t>C288</t>
  </si>
  <si>
    <t>Caldwell, Fields and Garrett</t>
  </si>
  <si>
    <t>C289</t>
  </si>
  <si>
    <t>Wiley, Ibarra and Smith</t>
  </si>
  <si>
    <t>C290</t>
  </si>
  <si>
    <t>Roberts Inc</t>
  </si>
  <si>
    <t>C291</t>
  </si>
  <si>
    <t>Miller-Washington</t>
  </si>
  <si>
    <t>C292</t>
  </si>
  <si>
    <t>Lopez-Lester</t>
  </si>
  <si>
    <t>C293</t>
  </si>
  <si>
    <t>Moreno-Hawkins</t>
  </si>
  <si>
    <t>C294</t>
  </si>
  <si>
    <t>Ramirez-Anderson</t>
  </si>
  <si>
    <t>C295</t>
  </si>
  <si>
    <t>Johnson, Webster and Stanley</t>
  </si>
  <si>
    <t>C296</t>
  </si>
  <si>
    <t>Walton PLC</t>
  </si>
  <si>
    <t>C297</t>
  </si>
  <si>
    <t>Miller LLC</t>
  </si>
  <si>
    <t>C298</t>
  </si>
  <si>
    <t>Christian Inc</t>
  </si>
  <si>
    <t>C299</t>
  </si>
  <si>
    <t>Herrera-Abbott</t>
  </si>
  <si>
    <t>C300</t>
  </si>
  <si>
    <t>Ingram, Gonzalez and Everett</t>
  </si>
  <si>
    <t>C301</t>
  </si>
  <si>
    <t>Sharp-Foster</t>
  </si>
  <si>
    <t>C302</t>
  </si>
  <si>
    <t>Kennedy Ltd</t>
  </si>
  <si>
    <t>C303</t>
  </si>
  <si>
    <t>Wade-Davis</t>
  </si>
  <si>
    <t>C304</t>
  </si>
  <si>
    <t>Rogers, Michael and Molina</t>
  </si>
  <si>
    <t>C305</t>
  </si>
  <si>
    <t>Guzman-Pham</t>
  </si>
  <si>
    <t>C306</t>
  </si>
  <si>
    <t>Smith, Stewart and Villegas</t>
  </si>
  <si>
    <t>C307</t>
  </si>
  <si>
    <t>Pittman, Ruiz and Gill</t>
  </si>
  <si>
    <t>C308</t>
  </si>
  <si>
    <t>Gregory-Nguyen</t>
  </si>
  <si>
    <t>C309</t>
  </si>
  <si>
    <t>Schmitt Ltd</t>
  </si>
  <si>
    <t>C310</t>
  </si>
  <si>
    <t>Williams Inc</t>
  </si>
  <si>
    <t>C311</t>
  </si>
  <si>
    <t>Rivera PLC</t>
  </si>
  <si>
    <t>C312</t>
  </si>
  <si>
    <t>Martin PLC</t>
  </si>
  <si>
    <t>C313</t>
  </si>
  <si>
    <t>Hansen-Reed</t>
  </si>
  <si>
    <t>C314</t>
  </si>
  <si>
    <t>Sullivan, Cross and Lozano</t>
  </si>
  <si>
    <t>C315</t>
  </si>
  <si>
    <t>Hess, Evans and Branch</t>
  </si>
  <si>
    <t>C316</t>
  </si>
  <si>
    <t>Hall-Ford</t>
  </si>
  <si>
    <t>C317</t>
  </si>
  <si>
    <t>Sullivan-Hood</t>
  </si>
  <si>
    <t>C318</t>
  </si>
  <si>
    <t>Lopez Inc</t>
  </si>
  <si>
    <t>C319</t>
  </si>
  <si>
    <t>Perry PLC</t>
  </si>
  <si>
    <t>C320</t>
  </si>
  <si>
    <t>Brown LLC</t>
  </si>
  <si>
    <t>C321</t>
  </si>
  <si>
    <t>Robinson, Pittman and Stewart</t>
  </si>
  <si>
    <t>C322</t>
  </si>
  <si>
    <t>Edwards-Ho</t>
  </si>
  <si>
    <t>C323</t>
  </si>
  <si>
    <t>Vargas-Martin</t>
  </si>
  <si>
    <t>C324</t>
  </si>
  <si>
    <t>Barnes-Mitchell</t>
  </si>
  <si>
    <t>C325</t>
  </si>
  <si>
    <t>C326</t>
  </si>
  <si>
    <t>Reese-Miller</t>
  </si>
  <si>
    <t>C327</t>
  </si>
  <si>
    <t>Boyd, Smith and Oliver</t>
  </si>
  <si>
    <t>C328</t>
  </si>
  <si>
    <t>Rodriguez PLC</t>
  </si>
  <si>
    <t>C329</t>
  </si>
  <si>
    <t>Harris-Woodard</t>
  </si>
  <si>
    <t>C330</t>
  </si>
  <si>
    <t>Ramirez-Vasquez</t>
  </si>
  <si>
    <t>C331</t>
  </si>
  <si>
    <t>Munoz Inc</t>
  </si>
  <si>
    <t>C332</t>
  </si>
  <si>
    <t>Brown-Harrison</t>
  </si>
  <si>
    <t>C333</t>
  </si>
  <si>
    <t>Taylor LLC</t>
  </si>
  <si>
    <t>C334</t>
  </si>
  <si>
    <t>Richards-Kim</t>
  </si>
  <si>
    <t>C335</t>
  </si>
  <si>
    <t>Gibson, Flores and Singh</t>
  </si>
  <si>
    <t>C336</t>
  </si>
  <si>
    <t>Fields Ltd</t>
  </si>
  <si>
    <t>C337</t>
  </si>
  <si>
    <t>Kim-Woodard</t>
  </si>
  <si>
    <t>C338</t>
  </si>
  <si>
    <t>Knapp LLC</t>
  </si>
  <si>
    <t>C339</t>
  </si>
  <si>
    <t>Gray Group</t>
  </si>
  <si>
    <t>C340</t>
  </si>
  <si>
    <t>Collins, Fitzpatrick and Callahan</t>
  </si>
  <si>
    <t>C341</t>
  </si>
  <si>
    <t>Brock Inc</t>
  </si>
  <si>
    <t>C342</t>
  </si>
  <si>
    <t>Mcneil-Sims</t>
  </si>
  <si>
    <t>C343</t>
  </si>
  <si>
    <t>Smith, Arellano and Howard</t>
  </si>
  <si>
    <t>C344</t>
  </si>
  <si>
    <t>Wilson, Martinez and Jefferson</t>
  </si>
  <si>
    <t>C345</t>
  </si>
  <si>
    <t>West Ltd</t>
  </si>
  <si>
    <t>C346</t>
  </si>
  <si>
    <t>Spencer-Johnson</t>
  </si>
  <si>
    <t>C347</t>
  </si>
  <si>
    <t>Haynes PLC</t>
  </si>
  <si>
    <t>C348</t>
  </si>
  <si>
    <t>Martin Ltd</t>
  </si>
  <si>
    <t>C349</t>
  </si>
  <si>
    <t>Horne Inc</t>
  </si>
  <si>
    <t>C350</t>
  </si>
  <si>
    <t>Martin LLC</t>
  </si>
  <si>
    <t>C351</t>
  </si>
  <si>
    <t>Preston, Mcmahon and Rodriguez</t>
  </si>
  <si>
    <t>C352</t>
  </si>
  <si>
    <t>Robinson PLC</t>
  </si>
  <si>
    <t>C353</t>
  </si>
  <si>
    <t>Ellis-Bowen</t>
  </si>
  <si>
    <t>C354</t>
  </si>
  <si>
    <t>Williams-Martin</t>
  </si>
  <si>
    <t>C355</t>
  </si>
  <si>
    <t>Smith and Sons</t>
  </si>
  <si>
    <t>C356</t>
  </si>
  <si>
    <t>Sims and Sons</t>
  </si>
  <si>
    <t>C357</t>
  </si>
  <si>
    <t>Alvarez, Fitzpatrick and Burton</t>
  </si>
  <si>
    <t>C358</t>
  </si>
  <si>
    <t>Mendez-Stewart</t>
  </si>
  <si>
    <t>C359</t>
  </si>
  <si>
    <t>Hughes Ltd</t>
  </si>
  <si>
    <t>C360</t>
  </si>
  <si>
    <t>Wilson-Cummings</t>
  </si>
  <si>
    <t>C361</t>
  </si>
  <si>
    <t>Harris, Barrett and Middleton</t>
  </si>
  <si>
    <t>C362</t>
  </si>
  <si>
    <t>Garcia-Pratt</t>
  </si>
  <si>
    <t>C363</t>
  </si>
  <si>
    <t>C364</t>
  </si>
  <si>
    <t>Lewis-Sampson</t>
  </si>
  <si>
    <t>C365</t>
  </si>
  <si>
    <t>Herrera, Foley and Fleming</t>
  </si>
  <si>
    <t>C366</t>
  </si>
  <si>
    <t>Willis Ltd</t>
  </si>
  <si>
    <t>C367</t>
  </si>
  <si>
    <t>Hall-Murray</t>
  </si>
  <si>
    <t>C368</t>
  </si>
  <si>
    <t>Gordon PLC</t>
  </si>
  <si>
    <t>C369</t>
  </si>
  <si>
    <t>Schmidt, Sanchez and Vazquez</t>
  </si>
  <si>
    <t>C370</t>
  </si>
  <si>
    <t>White LLC</t>
  </si>
  <si>
    <t>C371</t>
  </si>
  <si>
    <t>King and Sons</t>
  </si>
  <si>
    <t>C372</t>
  </si>
  <si>
    <t>Hayes-Best</t>
  </si>
  <si>
    <t>C373</t>
  </si>
  <si>
    <t>Thomas LLC</t>
  </si>
  <si>
    <t>C374</t>
  </si>
  <si>
    <t>Avila-Thomas</t>
  </si>
  <si>
    <t>C375</t>
  </si>
  <si>
    <t>James, Mitchell and Bean</t>
  </si>
  <si>
    <t>C376</t>
  </si>
  <si>
    <t>Rangel-Roberts</t>
  </si>
  <si>
    <t>C377</t>
  </si>
  <si>
    <t>Campbell Ltd</t>
  </si>
  <si>
    <t>C378</t>
  </si>
  <si>
    <t>C379</t>
  </si>
  <si>
    <t>Gibson-Johnson</t>
  </si>
  <si>
    <t>C380</t>
  </si>
  <si>
    <t>Ortega, Chavez and Walker</t>
  </si>
  <si>
    <t>C381</t>
  </si>
  <si>
    <t>Coleman-Brooks</t>
  </si>
  <si>
    <t>C382</t>
  </si>
  <si>
    <t>Knox-Daniels</t>
  </si>
  <si>
    <t>C383</t>
  </si>
  <si>
    <t>Thomas PLC</t>
  </si>
  <si>
    <t>C384</t>
  </si>
  <si>
    <t>Dickson and Sons</t>
  </si>
  <si>
    <t>C385</t>
  </si>
  <si>
    <t>Parsons Ltd</t>
  </si>
  <si>
    <t>C386</t>
  </si>
  <si>
    <t>Duncan-Rodriguez</t>
  </si>
  <si>
    <t>C387</t>
  </si>
  <si>
    <t>Thornton, Hernandez and Gray</t>
  </si>
  <si>
    <t>C388</t>
  </si>
  <si>
    <t>Hill Group</t>
  </si>
  <si>
    <t>C389</t>
  </si>
  <si>
    <t>Gonzalez, Howell and Castaneda</t>
  </si>
  <si>
    <t>C390</t>
  </si>
  <si>
    <t>Martinez, Byrd and Lopez</t>
  </si>
  <si>
    <t>C391</t>
  </si>
  <si>
    <t>Neal, Clark and Martin</t>
  </si>
  <si>
    <t>C392</t>
  </si>
  <si>
    <t>C393</t>
  </si>
  <si>
    <t>Smith-Tran</t>
  </si>
  <si>
    <t>C394</t>
  </si>
  <si>
    <t>Howard, Rodriguez and Carter</t>
  </si>
  <si>
    <t>C395</t>
  </si>
  <si>
    <t>Martinez-Hernandez</t>
  </si>
  <si>
    <t>C396</t>
  </si>
  <si>
    <t>Fitzgerald PLC</t>
  </si>
  <si>
    <t>C397</t>
  </si>
  <si>
    <t>Johnson-Hart</t>
  </si>
  <si>
    <t>C398</t>
  </si>
  <si>
    <t>Grimes, Alvarado and Keller</t>
  </si>
  <si>
    <t>C399</t>
  </si>
  <si>
    <t>Turner-Levine</t>
  </si>
  <si>
    <t>C400</t>
  </si>
  <si>
    <t>Evans-Hull</t>
  </si>
  <si>
    <t>C401</t>
  </si>
  <si>
    <t>Romero, Young and Stewart</t>
  </si>
  <si>
    <t>C402</t>
  </si>
  <si>
    <t>Thornton Inc</t>
  </si>
  <si>
    <t>C403</t>
  </si>
  <si>
    <t>Woodard, Diaz and Myers</t>
  </si>
  <si>
    <t>C404</t>
  </si>
  <si>
    <t>Burgess-Walker</t>
  </si>
  <si>
    <t>C405</t>
  </si>
  <si>
    <t>Carr Ltd</t>
  </si>
  <si>
    <t>C406</t>
  </si>
  <si>
    <t>Henderson-Vaughn</t>
  </si>
  <si>
    <t>C407</t>
  </si>
  <si>
    <t>Matthews and Sons</t>
  </si>
  <si>
    <t>C408</t>
  </si>
  <si>
    <t>Jackson Ltd</t>
  </si>
  <si>
    <t>C409</t>
  </si>
  <si>
    <t>Foley Inc</t>
  </si>
  <si>
    <t>C410</t>
  </si>
  <si>
    <t>Lawson Inc</t>
  </si>
  <si>
    <t>C411</t>
  </si>
  <si>
    <t>Shaw Group</t>
  </si>
  <si>
    <t>C412</t>
  </si>
  <si>
    <t>Gaines, Gonzales and Harrington</t>
  </si>
  <si>
    <t>C413</t>
  </si>
  <si>
    <t>Santos-Torres</t>
  </si>
  <si>
    <t>C414</t>
  </si>
  <si>
    <t>Padilla-Gould</t>
  </si>
  <si>
    <t>C415</t>
  </si>
  <si>
    <t>Joseph, Baxter and Ryan</t>
  </si>
  <si>
    <t>C416</t>
  </si>
  <si>
    <t>Mack-Avery</t>
  </si>
  <si>
    <t>C417</t>
  </si>
  <si>
    <t>Wyatt-Wilson</t>
  </si>
  <si>
    <t>C418</t>
  </si>
  <si>
    <t>Peterson Ltd</t>
  </si>
  <si>
    <t>C419</t>
  </si>
  <si>
    <t>Manning and Sons</t>
  </si>
  <si>
    <t>C420</t>
  </si>
  <si>
    <t>C421</t>
  </si>
  <si>
    <t>Briggs-Strong</t>
  </si>
  <si>
    <t>C422</t>
  </si>
  <si>
    <t>Thompson Inc</t>
  </si>
  <si>
    <t>C423</t>
  </si>
  <si>
    <t>C424</t>
  </si>
  <si>
    <t>Moody-Stevenson</t>
  </si>
  <si>
    <t>C425</t>
  </si>
  <si>
    <t>C426</t>
  </si>
  <si>
    <t>C427</t>
  </si>
  <si>
    <t>C428</t>
  </si>
  <si>
    <t>Jones-Walker</t>
  </si>
  <si>
    <t>C429</t>
  </si>
  <si>
    <t>C430</t>
  </si>
  <si>
    <t>Jones and Sons</t>
  </si>
  <si>
    <t>C431</t>
  </si>
  <si>
    <t>Mcconnell Inc</t>
  </si>
  <si>
    <t>C432</t>
  </si>
  <si>
    <t>Smith-Benton</t>
  </si>
  <si>
    <t>C433</t>
  </si>
  <si>
    <t>Summers-Lewis</t>
  </si>
  <si>
    <t>C434</t>
  </si>
  <si>
    <t>Harmon, Stephens and Nelson</t>
  </si>
  <si>
    <t>C435</t>
  </si>
  <si>
    <t>Smith-Becker</t>
  </si>
  <si>
    <t>C436</t>
  </si>
  <si>
    <t>Turner PLC</t>
  </si>
  <si>
    <t>C437</t>
  </si>
  <si>
    <t>Jones-Garza</t>
  </si>
  <si>
    <t>C438</t>
  </si>
  <si>
    <t>Leach-Durham</t>
  </si>
  <si>
    <t>C439</t>
  </si>
  <si>
    <t>Collins, Parker and Butler</t>
  </si>
  <si>
    <t>C440</t>
  </si>
  <si>
    <t>Gibson Group</t>
  </si>
  <si>
    <t>C441</t>
  </si>
  <si>
    <t>Morales-Walton</t>
  </si>
  <si>
    <t>C442</t>
  </si>
  <si>
    <t>Price and Sons</t>
  </si>
  <si>
    <t>C443</t>
  </si>
  <si>
    <t>Miles, Taylor and Pearson</t>
  </si>
  <si>
    <t>C444</t>
  </si>
  <si>
    <t>Palmer-Duke</t>
  </si>
  <si>
    <t>C445</t>
  </si>
  <si>
    <t>Miller, Flores and Leblanc</t>
  </si>
  <si>
    <t>C446</t>
  </si>
  <si>
    <t>Brown and Sons</t>
  </si>
  <si>
    <t>C447</t>
  </si>
  <si>
    <t>Anthony-Thomas</t>
  </si>
  <si>
    <t>C448</t>
  </si>
  <si>
    <t>Barker-Owens</t>
  </si>
  <si>
    <t>C449</t>
  </si>
  <si>
    <t>Bell-Oconnor</t>
  </si>
  <si>
    <t>C450</t>
  </si>
  <si>
    <t>Solis-Perkins</t>
  </si>
  <si>
    <t>C451</t>
  </si>
  <si>
    <t>Hernandez-Ewing</t>
  </si>
  <si>
    <t>C452</t>
  </si>
  <si>
    <t>Christensen Group</t>
  </si>
  <si>
    <t>C453</t>
  </si>
  <si>
    <t>Reyes and Sons</t>
  </si>
  <si>
    <t>C454</t>
  </si>
  <si>
    <t>Dunlap PLC</t>
  </si>
  <si>
    <t>C455</t>
  </si>
  <si>
    <t>Garcia LLC</t>
  </si>
  <si>
    <t>C456</t>
  </si>
  <si>
    <t>Perez and Sons</t>
  </si>
  <si>
    <t>C457</t>
  </si>
  <si>
    <t>Weaver LLC</t>
  </si>
  <si>
    <t>C458</t>
  </si>
  <si>
    <t>Harris and Sons</t>
  </si>
  <si>
    <t>C459</t>
  </si>
  <si>
    <t>Jackson, Harper and Velez</t>
  </si>
  <si>
    <t>C460</t>
  </si>
  <si>
    <t>Arnold Group</t>
  </si>
  <si>
    <t>C461</t>
  </si>
  <si>
    <t>Farrell, Quinn and Bruce</t>
  </si>
  <si>
    <t>C462</t>
  </si>
  <si>
    <t>Franklin and Sons</t>
  </si>
  <si>
    <t>C463</t>
  </si>
  <si>
    <t>Coffey and Sons</t>
  </si>
  <si>
    <t>C464</t>
  </si>
  <si>
    <t>Mullins Group</t>
  </si>
  <si>
    <t>C465</t>
  </si>
  <si>
    <t>Stevens-Smith</t>
  </si>
  <si>
    <t>C466</t>
  </si>
  <si>
    <t>Mata-Dawson</t>
  </si>
  <si>
    <t>C467</t>
  </si>
  <si>
    <t>Paul Ltd</t>
  </si>
  <si>
    <t>C468</t>
  </si>
  <si>
    <t>Ferguson and Sons</t>
  </si>
  <si>
    <t>C469</t>
  </si>
  <si>
    <t>Guzman, Martinez and Mcfarland</t>
  </si>
  <si>
    <t>C470</t>
  </si>
  <si>
    <t>Hickman, Petersen and Fuller</t>
  </si>
  <si>
    <t>C471</t>
  </si>
  <si>
    <t>Cook Group</t>
  </si>
  <si>
    <t>C472</t>
  </si>
  <si>
    <t>Mccoy-Taylor</t>
  </si>
  <si>
    <t>C473</t>
  </si>
  <si>
    <t>Brown-Newton</t>
  </si>
  <si>
    <t>C474</t>
  </si>
  <si>
    <t>Decker-Elliott</t>
  </si>
  <si>
    <t>C475</t>
  </si>
  <si>
    <t>C476</t>
  </si>
  <si>
    <t>Pratt, Collins and Hernandez</t>
  </si>
  <si>
    <t>C477</t>
  </si>
  <si>
    <t>Nelson PLC</t>
  </si>
  <si>
    <t>C478</t>
  </si>
  <si>
    <t>Ingram, Waller and Nguyen</t>
  </si>
  <si>
    <t>C479</t>
  </si>
  <si>
    <t>Daniels LLC</t>
  </si>
  <si>
    <t>C480</t>
  </si>
  <si>
    <t>Santos, Hall and Wood</t>
  </si>
  <si>
    <t>C481</t>
  </si>
  <si>
    <t>Aguilar LLC</t>
  </si>
  <si>
    <t>C482</t>
  </si>
  <si>
    <t>Hawkins, Hahn and Marsh</t>
  </si>
  <si>
    <t>C483</t>
  </si>
  <si>
    <t>Walker-Parks</t>
  </si>
  <si>
    <t>C484</t>
  </si>
  <si>
    <t>Gonzalez Ltd</t>
  </si>
  <si>
    <t>C485</t>
  </si>
  <si>
    <t>Mathis-Jones</t>
  </si>
  <si>
    <t>C486</t>
  </si>
  <si>
    <t>Torres Ltd</t>
  </si>
  <si>
    <t>C487</t>
  </si>
  <si>
    <t>Jackson, Trevino and Smith</t>
  </si>
  <si>
    <t>C488</t>
  </si>
  <si>
    <t>Orozco-Miller</t>
  </si>
  <si>
    <t>C489</t>
  </si>
  <si>
    <t>Smith Ltd</t>
  </si>
  <si>
    <t>C490</t>
  </si>
  <si>
    <t>Parsons-Mcfarland</t>
  </si>
  <si>
    <t>C491</t>
  </si>
  <si>
    <t>Drake Group</t>
  </si>
  <si>
    <t>C492</t>
  </si>
  <si>
    <t>C493</t>
  </si>
  <si>
    <t>Harris, Orr and Brown</t>
  </si>
  <si>
    <t>C494</t>
  </si>
  <si>
    <t>Harrison-Jimenez</t>
  </si>
  <si>
    <t>C495</t>
  </si>
  <si>
    <t>Wong PLC</t>
  </si>
  <si>
    <t>C496</t>
  </si>
  <si>
    <t>Grimes-Black</t>
  </si>
  <si>
    <t>C497</t>
  </si>
  <si>
    <t>Bond-Jones</t>
  </si>
  <si>
    <t>C498</t>
  </si>
  <si>
    <t>Moran, Meyers and Thompson</t>
  </si>
  <si>
    <t>C499</t>
  </si>
  <si>
    <t>Bailey, Garcia and Dalton</t>
  </si>
  <si>
    <t>C500</t>
  </si>
  <si>
    <t>Coleman, Harris and Tucker</t>
  </si>
  <si>
    <t>Debt_to_Equity_Ratio</t>
  </si>
  <si>
    <t>Cash_Flow_to_Loan</t>
  </si>
  <si>
    <t>Profit_Margin</t>
  </si>
  <si>
    <t>Regulatory_Compliance</t>
  </si>
  <si>
    <t>Cash_Flow</t>
  </si>
  <si>
    <t>Scorecard_Decision</t>
  </si>
  <si>
    <t>Debt_to_Equity_Threshold</t>
  </si>
  <si>
    <t>Approval_Rate</t>
  </si>
  <si>
    <t>Total Companies</t>
  </si>
  <si>
    <t>Approval Rate</t>
  </si>
  <si>
    <t>Avg Credit Score</t>
  </si>
  <si>
    <t>Avg CO2 Saved (Approved)</t>
  </si>
  <si>
    <t>Count</t>
  </si>
  <si>
    <t>Approved</t>
  </si>
  <si>
    <t>Manual Review</t>
  </si>
  <si>
    <t>Rejected</t>
  </si>
  <si>
    <t>Credit Risk &amp; Sustainability Dashboard</t>
  </si>
  <si>
    <t>Waste-to-Wealth Credit Optimizer</t>
  </si>
  <si>
    <t>Avg_CO2_Saved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</si>
</sst>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 Unicode MS"/>
    </font>
    <font>
      <sz val="11"/>
      <color theme="4" tint="-0.249977111117893"/>
      <name val="Calibri"/>
      <family val="2"/>
      <scheme val="minor"/>
    </font>
    <font>
      <sz val="12"/>
      <color theme="1"/>
      <name val="Arial Unicode MS"/>
    </font>
    <font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4" tint="-0.249977111117893"/>
      <name val="Arial Unicode MS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/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2" fontId="0" fillId="3" borderId="0" xfId="0" applyNumberFormat="1" applyFill="1"/>
    <xf numFmtId="0" fontId="5" fillId="3" borderId="0" xfId="0" applyFont="1" applyFill="1"/>
    <xf numFmtId="0" fontId="5" fillId="3" borderId="3" xfId="0" applyFont="1" applyFill="1" applyBorder="1"/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164" formatCode="0.0%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theme="4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theme="4"/>
        </bottom>
      </border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/>
              <a:t>Approval Rate Sensitivity to Debt-to-Equity Threshold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Sensitivity_Analysis!$A$1</c:f>
              <c:strCache>
                <c:ptCount val="1"/>
                <c:pt idx="0">
                  <c:v>Debt_to_Equity_Threshold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Sensitivity_Analysis!$A$2:$A$11</c:f>
              <c:numCache>
                <c:formatCode>General</c:formatCode>
                <c:ptCount val="10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2.5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1-4EFD-9EC4-4C14A29BA99B}"/>
            </c:ext>
          </c:extLst>
        </c:ser>
        <c:ser>
          <c:idx val="1"/>
          <c:order val="1"/>
          <c:tx>
            <c:strRef>
              <c:f>Sensitivity_Analysis!$B$1</c:f>
              <c:strCache>
                <c:ptCount val="1"/>
                <c:pt idx="0">
                  <c:v>Approval_Rate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Sensitivity_Analysis!$B$2:$B$11</c:f>
              <c:numCache>
                <c:formatCode>0.0%</c:formatCode>
                <c:ptCount val="10"/>
                <c:pt idx="0">
                  <c:v>0.20200000000000001</c:v>
                </c:pt>
                <c:pt idx="1">
                  <c:v>0.24048096192384769</c:v>
                </c:pt>
                <c:pt idx="2">
                  <c:v>0.25903614457831325</c:v>
                </c:pt>
                <c:pt idx="3">
                  <c:v>0.2595573440643863</c:v>
                </c:pt>
                <c:pt idx="4">
                  <c:v>0.26008064516129031</c:v>
                </c:pt>
                <c:pt idx="5">
                  <c:v>0.26060606060606062</c:v>
                </c:pt>
                <c:pt idx="6">
                  <c:v>0.26113360323886642</c:v>
                </c:pt>
                <c:pt idx="7">
                  <c:v>0.26166328600405681</c:v>
                </c:pt>
                <c:pt idx="8">
                  <c:v>0.26219512195121952</c:v>
                </c:pt>
                <c:pt idx="9">
                  <c:v>0.26272912423625255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1-4EFD-9EC4-4C14A29BA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447248"/>
        <c:axId val="1838397328"/>
      </c:lineChart>
      <c:catAx>
        <c:axId val="1838447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397328"/>
        <c:crosses val="autoZero"/>
        <c:auto val="1"/>
        <c:lblAlgn val="ctr"/>
        <c:lblOffset val="100"/>
        <c:noMultiLvlLbl val="0"/>
      </c:catAx>
      <c:valAx>
        <c:axId val="18383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44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Risk Category Distribution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Dashboard!$B$11:$B$13</c:f>
              <c:strCache>
                <c:ptCount val="3"/>
                <c:pt idx="0">
                  <c:v>Approved</c:v>
                </c:pt>
                <c:pt idx="1">
                  <c:v>Manual Review</c:v>
                </c:pt>
                <c:pt idx="2">
                  <c:v>Rejected</c:v>
                </c:pt>
              </c:strCache>
            </c:strRef>
          </c:cat>
          <c:val>
            <c:numRef>
              <c:f>Dashboard!$C$11:$C$13</c:f>
              <c:numCache>
                <c:formatCode>0.00</c:formatCode>
                <c:ptCount val="3"/>
                <c:pt idx="0">
                  <c:v>129</c:v>
                </c:pt>
                <c:pt idx="1">
                  <c:v>339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F-4685-BE6E-52042CB45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1274176"/>
        <c:axId val="2031275616"/>
        <c:axId val="165686496"/>
      </c:bar3DChart>
      <c:catAx>
        <c:axId val="20312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75616"/>
        <c:crosses val="autoZero"/>
        <c:auto val="1"/>
        <c:lblAlgn val="ctr"/>
        <c:lblOffset val="100"/>
        <c:noMultiLvlLbl val="0"/>
      </c:catAx>
      <c:valAx>
        <c:axId val="203127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74176"/>
        <c:crosses val="autoZero"/>
        <c:crossBetween val="between"/>
      </c:valAx>
      <c:serAx>
        <c:axId val="16568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7561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Avg CO2 Saved by Risk Category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Dashboard!$J$10</c:f>
              <c:strCache>
                <c:ptCount val="1"/>
                <c:pt idx="0">
                  <c:v>Avg_CO2_Saved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Dashboard!$I$11:$I$13</c:f>
              <c:strCache>
                <c:ptCount val="3"/>
                <c:pt idx="0">
                  <c:v>Approved</c:v>
                </c:pt>
                <c:pt idx="1">
                  <c:v>Manual Review</c:v>
                </c:pt>
                <c:pt idx="2">
                  <c:v>Rejected</c:v>
                </c:pt>
              </c:strCache>
            </c:strRef>
          </c:cat>
          <c:val>
            <c:numRef>
              <c:f>Dashboard!$J$11:$J$13</c:f>
              <c:numCache>
                <c:formatCode>0.00</c:formatCode>
                <c:ptCount val="3"/>
                <c:pt idx="0">
                  <c:v>4275.5859375</c:v>
                </c:pt>
                <c:pt idx="1">
                  <c:v>4275.2713864306788</c:v>
                </c:pt>
                <c:pt idx="2">
                  <c:v>4451.71875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6-4AA9-A46F-ECE251825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901392"/>
        <c:axId val="62912432"/>
        <c:axId val="0"/>
      </c:bar3DChart>
      <c:catAx>
        <c:axId val="629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12432"/>
        <c:crosses val="autoZero"/>
        <c:auto val="1"/>
        <c:lblAlgn val="ctr"/>
        <c:lblOffset val="100"/>
        <c:noMultiLvlLbl val="0"/>
      </c:catAx>
      <c:valAx>
        <c:axId val="629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0</xdr:row>
      <xdr:rowOff>34290</xdr:rowOff>
    </xdr:from>
    <xdr:to>
      <xdr:col>10</xdr:col>
      <xdr:colOff>83820</xdr:colOff>
      <xdr:row>10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D214E-1BBF-7231-F957-372AE9012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594522</xdr:colOff>
      <xdr:row>14</xdr:row>
      <xdr:rowOff>25535</xdr:rowOff>
    </xdr:from>
    <xdr:to>
      <xdr:col>3</xdr:col>
      <xdr:colOff>24319</xdr:colOff>
      <xdr:row>29</xdr:row>
      <xdr:rowOff>24319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83957-8546-ACBB-E434-B138AFC69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611604</xdr:colOff>
      <xdr:row>14</xdr:row>
      <xdr:rowOff>2005</xdr:rowOff>
    </xdr:from>
    <xdr:to>
      <xdr:col>10</xdr:col>
      <xdr:colOff>40105</xdr:colOff>
      <xdr:row>28</xdr:row>
      <xdr:rowOff>170447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F6182B-9CC2-41DA-93C4-6FD5F958D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58204-621F-42EB-9D40-EAB883A1BEDE}" name="Table1" displayName="Table1" ref="A1:S501" totalsRowShown="0">
  <autoFilter ref="A1:S501" xr:uid="{DCC58204-621F-42EB-9D40-EAB883A1BEDE}"/>
  <tableColumns count="19">
    <tableColumn id="1" xr3:uid="{48E5BE4E-6BC4-42DE-B584-DBA16CC23D49}" name="Company_ID"/>
    <tableColumn id="2" xr3:uid="{346F7807-C46A-4127-A83F-25B5FDFC7401}" name="Company_Name"/>
    <tableColumn id="3" xr3:uid="{0B2742E4-B56D-46C7-8019-23CBDDB1E9CE}" name="State"/>
    <tableColumn id="4" xr3:uid="{2048F6D6-67BD-44DD-A9A5-B8403E3F182D}" name="Years_Operation"/>
    <tableColumn id="5" xr3:uid="{B734D2C7-EBD3-41F8-9D9B-F122C2A14498}" name="Employees"/>
    <tableColumn id="6" xr3:uid="{546227A4-A76F-4657-966A-423929D30D6E}" name="Annual_Revenue_USD"/>
    <tableColumn id="7" xr3:uid="{B53F5B99-0840-4052-B113-EDFB7BCAC31A}" name="Profit_Margin_Pct"/>
    <tableColumn id="8" xr3:uid="{7EB263F7-40DF-4018-BC5A-DAD22B6F012C}" name="Debt_to_Equity"/>
    <tableColumn id="9" xr3:uid="{280F12AA-D899-4E3D-957F-F8B704F72A35}" name="Cash_Flow_USD"/>
    <tableColumn id="10" xr3:uid="{B1C66A94-217A-4FF9-B59E-5A3E60BE919D}" name="Loan_Amount_Requested_USD"/>
    <tableColumn id="11" xr3:uid="{31798E50-0681-4E3C-AA9D-4FCF333CED43}" name="Monthly_Recycling_Tons"/>
    <tableColumn id="12" xr3:uid="{E3C99905-25DF-42A1-B87E-6892247FAFE3}" name="Plant_Utilization_Pct"/>
    <tableColumn id="13" xr3:uid="{D0A94DF7-BCB4-4CD9-BBBF-EBD2C09CBBC9}" name="Collection_Efficiency_Pct"/>
    <tableColumn id="14" xr3:uid="{7CA77394-EBAE-4B70-B87F-10921EB21AFE}" name="CO2_Saved_Tons"/>
    <tableColumn id="15" xr3:uid="{9140549D-4358-42A7-B6FB-B09662057DE1}" name="Operational_Cost_USD"/>
    <tableColumn id="16" xr3:uid="{A09DC87F-C760-4FAA-88CE-681E6D789F6F}" name="Regulatory_Compliance_Score"/>
    <tableColumn id="17" xr3:uid="{6FA30648-4D4B-42AC-ABA7-26053038C679}" name="Previous_Default"/>
    <tableColumn id="18" xr3:uid="{41CB758E-86B5-4D00-890D-F6FD8FB6F790}" name="Credit_Score"/>
    <tableColumn id="19" xr3:uid="{04682A86-8C69-488C-805B-2EB05872356D}" name="Risk_Categor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05823-3423-497D-B7FB-BEDB369E4038}" name="Table2" displayName="Table2" ref="A1:E501" totalsRowShown="0">
  <autoFilter ref="A1:E501" xr:uid="{F2B05823-3423-497D-B7FB-BEDB369E4038}"/>
  <tableColumns count="5">
    <tableColumn id="1" xr3:uid="{C5E6C8B9-EA93-46FE-B565-AAC06DD47F68}" name="Company_ID">
      <calculatedColumnFormula>Sheet1!A2</calculatedColumnFormula>
    </tableColumn>
    <tableColumn id="2" xr3:uid="{B37D9AC6-34B8-4E84-8B9B-EB92F8FC5A34}" name="Company_Name">
      <calculatedColumnFormula>Sheet1!B2</calculatedColumnFormula>
    </tableColumn>
    <tableColumn id="3" xr3:uid="{E89AB42F-C6C1-4A34-A5EA-34347CD49D3F}" name="Debt_to_Equity_Ratio">
      <calculatedColumnFormula>Sheet1!H2</calculatedColumnFormula>
    </tableColumn>
    <tableColumn id="4" xr3:uid="{4F9503AC-91F6-4F83-B37E-C90883940520}" name="Cash_Flow_to_Loan" dataDxfId="3">
      <calculatedColumnFormula>Sheet1!I2/Sheet1!J2</calculatedColumnFormula>
    </tableColumn>
    <tableColumn id="5" xr3:uid="{190ABB30-B5D5-4B97-8A85-6D36C7DDD1E8}" name="Profit_Margin" dataDxfId="2">
      <calculatedColumnFormula>Sheet1!G2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93671B-9513-42D4-B8E4-F73EA9FB9100}" name="Table3" displayName="Table3" ref="A1:G501" totalsRowShown="0">
  <autoFilter ref="A1:G501" xr:uid="{1D93671B-9513-42D4-B8E4-F73EA9FB9100}"/>
  <tableColumns count="7">
    <tableColumn id="1" xr3:uid="{35619BF2-42DB-4627-A6AD-DDFF2E1ADFE3}" name="Company_ID">
      <calculatedColumnFormula>Sheet1!A2</calculatedColumnFormula>
    </tableColumn>
    <tableColumn id="2" xr3:uid="{0873BB6C-EA0C-4C55-A30B-676D28587395}" name="Company_Name">
      <calculatedColumnFormula>Sheet1!B2</calculatedColumnFormula>
    </tableColumn>
    <tableColumn id="3" xr3:uid="{A800AF17-612C-4607-974E-89936F674691}" name="Credit_Score">
      <calculatedColumnFormula>Sheet1!R2</calculatedColumnFormula>
    </tableColumn>
    <tableColumn id="4" xr3:uid="{A21B5F67-F94F-42ED-9090-A271133BF02B}" name="Debt_to_Equity">
      <calculatedColumnFormula>Sheet1!H2</calculatedColumnFormula>
    </tableColumn>
    <tableColumn id="5" xr3:uid="{F425A315-4ED1-4A34-B458-96BC2A95C7A5}" name="Regulatory_Compliance">
      <calculatedColumnFormula>Sheet1!P2</calculatedColumnFormula>
    </tableColumn>
    <tableColumn id="6" xr3:uid="{2A35C461-7C93-4B24-90B4-2994D6554760}" name="Cash_Flow">
      <calculatedColumnFormula>Sheet1!I2</calculatedColumnFormula>
    </tableColumn>
    <tableColumn id="7" xr3:uid="{40A5C445-C7A8-4C83-90C1-F4C5425F2B7E}" name="Scorecard_Decision" dataDxfId="1">
      <calculatedColumnFormula>IF(AND(C2&gt;=70,D2&lt;=1,E2&gt;=60),"Approved",IF(OR(C2&lt;50,D2&gt;2),"Rejected","Manual Review"))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84BD86-72E6-4805-90E7-B3CB44E4DDDF}" name="Table4" displayName="Table4" ref="A1:B11" totalsRowShown="0">
  <autoFilter ref="A1:B11" xr:uid="{B884BD86-72E6-4805-90E7-B3CB44E4DDDF}"/>
  <tableColumns count="2">
    <tableColumn id="1" xr3:uid="{B24AC8DA-38C7-4B37-9544-8734552CFA89}" name="Debt_to_Equity_Threshold"/>
    <tableColumn id="2" xr3:uid="{5F562912-0CE9-4A3A-9970-863BD8D29B9F}" name="Approval_Rate" dataDxfId="0">
      <calculatedColumnFormula>COUNTIFS(Credit_Scorecard!C:C,"&gt;=70",Credit_Scorecard!D:D,"&lt;="&amp;A2,Credit_Scorecard!E:E,"&gt;=60")/COUNTA(Credit_Scorecard!C2:C501)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6E198A-E899-4E87-801E-28E05B485F06}" name="Table5" displayName="Table5" ref="B10:C13" totalsRowShown="0" headerRowDxfId="13" dataDxfId="12">
  <autoFilter ref="B10:C13" xr:uid="{766E198A-E899-4E87-801E-28E05B485F06}"/>
  <tableColumns count="2">
    <tableColumn id="1" xr3:uid="{55A4DBF2-E39C-4810-9E65-50887D71D949}" name="Risk_Category" dataDxfId="11"/>
    <tableColumn id="2" xr3:uid="{DAF505D1-C63D-4C44-8181-8F191D295466}" name="Count" dataDxfId="10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98DCF6-0FF0-4083-93B6-2DEC3AC6DD24}" name="Table6" displayName="Table6" ref="I10:J13" totalsRowShown="0" headerRowDxfId="9" dataDxfId="7" headerRowBorderDxfId="8" tableBorderDxfId="6">
  <autoFilter ref="I10:J13" xr:uid="{4F98DCF6-0FF0-4083-93B6-2DEC3AC6DD24}"/>
  <tableColumns count="2">
    <tableColumn id="1" xr3:uid="{B8D5DAFD-F1A4-4E56-8466-1A06C25FFDE2}" name="Risk_Category" dataDxfId="5"/>
    <tableColumn id="2" xr3:uid="{01A03EEF-3039-4176-BB1F-C246245E033C}" name="Avg_CO2_Saved" dataDxfId="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workbookViewId="0">
      <selection activeCell="I12" sqref="I12"/>
    </sheetView>
  </sheetViews>
  <sheetFormatPr defaultRowHeight="14.4"/>
  <cols>
    <col min="1" max="1" width="13.77734375" customWidth="1"/>
    <col min="2" max="2" width="30.5546875" bestFit="1" customWidth="1"/>
    <col min="4" max="4" width="16.77734375" customWidth="1"/>
    <col min="5" max="5" width="12" customWidth="1"/>
    <col min="6" max="6" width="21.77734375" customWidth="1"/>
    <col min="7" max="7" width="18.21875" customWidth="1"/>
    <col min="8" max="8" width="16" customWidth="1"/>
    <col min="9" max="9" width="16.33203125" customWidth="1"/>
    <col min="10" max="10" width="29.33203125" customWidth="1"/>
    <col min="11" max="11" width="24" customWidth="1"/>
    <col min="12" max="12" width="20.33203125" customWidth="1"/>
    <col min="13" max="13" width="24" customWidth="1"/>
    <col min="14" max="14" width="17.44140625" customWidth="1"/>
    <col min="15" max="15" width="22" customWidth="1"/>
    <col min="16" max="16" width="28.5546875" customWidth="1"/>
    <col min="17" max="17" width="17.21875" customWidth="1"/>
    <col min="18" max="18" width="13.5546875" customWidth="1"/>
    <col min="19" max="19" width="14.77734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>
        <v>7</v>
      </c>
      <c r="E2">
        <v>108</v>
      </c>
      <c r="F2">
        <v>1150819</v>
      </c>
      <c r="G2">
        <v>2.87</v>
      </c>
      <c r="H2">
        <v>1.01</v>
      </c>
      <c r="I2">
        <v>962613</v>
      </c>
      <c r="J2">
        <v>211592</v>
      </c>
      <c r="K2">
        <v>427</v>
      </c>
      <c r="L2">
        <v>62</v>
      </c>
      <c r="M2">
        <v>95</v>
      </c>
      <c r="N2">
        <v>5653</v>
      </c>
      <c r="O2">
        <v>922596</v>
      </c>
      <c r="P2">
        <v>62</v>
      </c>
      <c r="Q2" t="s">
        <v>22</v>
      </c>
      <c r="R2">
        <v>41</v>
      </c>
      <c r="S2" t="s">
        <v>23</v>
      </c>
    </row>
    <row r="3" spans="1:19">
      <c r="A3" t="s">
        <v>24</v>
      </c>
      <c r="B3" t="s">
        <v>25</v>
      </c>
      <c r="C3" t="s">
        <v>26</v>
      </c>
      <c r="D3">
        <v>18</v>
      </c>
      <c r="E3">
        <v>16</v>
      </c>
      <c r="F3">
        <v>1554696</v>
      </c>
      <c r="G3">
        <v>10.38</v>
      </c>
      <c r="H3">
        <v>0.6</v>
      </c>
      <c r="I3">
        <v>945913</v>
      </c>
      <c r="J3">
        <v>289579</v>
      </c>
      <c r="K3">
        <v>894</v>
      </c>
      <c r="L3">
        <v>89</v>
      </c>
      <c r="M3">
        <v>86</v>
      </c>
      <c r="N3">
        <v>6438</v>
      </c>
      <c r="O3">
        <v>1255622</v>
      </c>
      <c r="P3">
        <v>78</v>
      </c>
      <c r="Q3" t="s">
        <v>27</v>
      </c>
      <c r="R3">
        <v>61</v>
      </c>
      <c r="S3" t="s">
        <v>28</v>
      </c>
    </row>
    <row r="4" spans="1:19">
      <c r="A4" t="s">
        <v>29</v>
      </c>
      <c r="B4" t="s">
        <v>30</v>
      </c>
      <c r="C4" t="s">
        <v>31</v>
      </c>
      <c r="D4">
        <v>17</v>
      </c>
      <c r="E4">
        <v>71</v>
      </c>
      <c r="F4">
        <v>906851</v>
      </c>
      <c r="G4">
        <v>16.21</v>
      </c>
      <c r="H4">
        <v>0.44</v>
      </c>
      <c r="I4">
        <v>-15853</v>
      </c>
      <c r="J4">
        <v>453959</v>
      </c>
      <c r="K4">
        <v>249</v>
      </c>
      <c r="L4">
        <v>45</v>
      </c>
      <c r="M4">
        <v>65</v>
      </c>
      <c r="N4">
        <v>2697</v>
      </c>
      <c r="O4">
        <v>691004</v>
      </c>
      <c r="P4">
        <v>91</v>
      </c>
      <c r="Q4" t="s">
        <v>27</v>
      </c>
      <c r="R4">
        <v>73</v>
      </c>
      <c r="S4" t="s">
        <v>28</v>
      </c>
    </row>
    <row r="5" spans="1:19">
      <c r="A5" t="s">
        <v>32</v>
      </c>
      <c r="B5" t="s">
        <v>33</v>
      </c>
      <c r="C5" t="s">
        <v>21</v>
      </c>
      <c r="D5">
        <v>5</v>
      </c>
      <c r="E5">
        <v>25</v>
      </c>
      <c r="F5">
        <v>2223167</v>
      </c>
      <c r="G5">
        <v>11.69</v>
      </c>
      <c r="H5">
        <v>0.5</v>
      </c>
      <c r="I5">
        <v>948820</v>
      </c>
      <c r="J5">
        <v>554422</v>
      </c>
      <c r="K5">
        <v>286</v>
      </c>
      <c r="L5">
        <v>58</v>
      </c>
      <c r="M5">
        <v>83</v>
      </c>
      <c r="N5">
        <v>4036</v>
      </c>
      <c r="O5">
        <v>1454636</v>
      </c>
      <c r="P5">
        <v>76</v>
      </c>
      <c r="Q5" t="s">
        <v>22</v>
      </c>
      <c r="R5">
        <v>63</v>
      </c>
      <c r="S5" t="s">
        <v>28</v>
      </c>
    </row>
    <row r="6" spans="1:19">
      <c r="A6" t="s">
        <v>34</v>
      </c>
      <c r="B6" t="s">
        <v>35</v>
      </c>
      <c r="C6" t="s">
        <v>26</v>
      </c>
      <c r="D6">
        <v>10</v>
      </c>
      <c r="E6">
        <v>17</v>
      </c>
      <c r="F6">
        <v>4365241</v>
      </c>
      <c r="G6">
        <v>14.5</v>
      </c>
      <c r="H6">
        <v>0.87</v>
      </c>
      <c r="I6">
        <v>855471</v>
      </c>
      <c r="J6">
        <v>498575</v>
      </c>
      <c r="K6">
        <v>142</v>
      </c>
      <c r="L6">
        <v>75</v>
      </c>
      <c r="M6">
        <v>89</v>
      </c>
      <c r="N6">
        <v>1060</v>
      </c>
      <c r="O6">
        <v>2812092</v>
      </c>
      <c r="P6">
        <v>100</v>
      </c>
      <c r="Q6" t="s">
        <v>22</v>
      </c>
      <c r="R6">
        <v>66</v>
      </c>
      <c r="S6" t="s">
        <v>28</v>
      </c>
    </row>
    <row r="7" spans="1:19">
      <c r="A7" t="s">
        <v>36</v>
      </c>
      <c r="B7" t="s">
        <v>37</v>
      </c>
      <c r="C7" t="s">
        <v>38</v>
      </c>
      <c r="D7">
        <v>20</v>
      </c>
      <c r="E7">
        <v>184</v>
      </c>
      <c r="F7">
        <v>1686636</v>
      </c>
      <c r="G7">
        <v>13.54</v>
      </c>
      <c r="H7">
        <v>0.48</v>
      </c>
      <c r="I7">
        <v>778316</v>
      </c>
      <c r="J7">
        <v>934537</v>
      </c>
      <c r="K7">
        <v>1322</v>
      </c>
      <c r="L7">
        <v>45</v>
      </c>
      <c r="M7">
        <v>89</v>
      </c>
      <c r="N7">
        <v>4137</v>
      </c>
      <c r="O7">
        <v>1492054</v>
      </c>
      <c r="P7">
        <v>73</v>
      </c>
      <c r="Q7" t="s">
        <v>27</v>
      </c>
      <c r="R7">
        <v>64</v>
      </c>
      <c r="S7" t="s">
        <v>28</v>
      </c>
    </row>
    <row r="8" spans="1:19">
      <c r="A8" t="s">
        <v>39</v>
      </c>
      <c r="B8" t="s">
        <v>40</v>
      </c>
      <c r="C8" t="s">
        <v>41</v>
      </c>
      <c r="D8">
        <v>16</v>
      </c>
      <c r="E8">
        <v>205</v>
      </c>
      <c r="F8">
        <v>1436783</v>
      </c>
      <c r="G8">
        <v>10.24</v>
      </c>
      <c r="H8">
        <v>0.6</v>
      </c>
      <c r="I8">
        <v>296197</v>
      </c>
      <c r="J8">
        <v>704901</v>
      </c>
      <c r="K8">
        <v>1314</v>
      </c>
      <c r="L8">
        <v>78</v>
      </c>
      <c r="M8">
        <v>74</v>
      </c>
      <c r="N8">
        <v>5477</v>
      </c>
      <c r="O8">
        <v>977191</v>
      </c>
      <c r="P8">
        <v>61</v>
      </c>
      <c r="Q8" t="s">
        <v>22</v>
      </c>
      <c r="R8">
        <v>56</v>
      </c>
      <c r="S8" t="s">
        <v>23</v>
      </c>
    </row>
    <row r="9" spans="1:19">
      <c r="A9" t="s">
        <v>42</v>
      </c>
      <c r="B9" t="s">
        <v>43</v>
      </c>
      <c r="C9" t="s">
        <v>44</v>
      </c>
      <c r="D9">
        <v>19</v>
      </c>
      <c r="E9">
        <v>172</v>
      </c>
      <c r="F9">
        <v>965847</v>
      </c>
      <c r="G9">
        <v>5.68</v>
      </c>
      <c r="H9">
        <v>1.1499999999999999</v>
      </c>
      <c r="I9">
        <v>32274</v>
      </c>
      <c r="J9">
        <v>644095</v>
      </c>
      <c r="K9">
        <v>1600</v>
      </c>
      <c r="L9">
        <v>85</v>
      </c>
      <c r="M9">
        <v>96</v>
      </c>
      <c r="N9">
        <v>3849</v>
      </c>
      <c r="O9">
        <v>661145</v>
      </c>
      <c r="P9">
        <v>99</v>
      </c>
      <c r="Q9" t="s">
        <v>27</v>
      </c>
      <c r="R9">
        <v>52</v>
      </c>
      <c r="S9" t="s">
        <v>23</v>
      </c>
    </row>
    <row r="10" spans="1:19">
      <c r="A10" t="s">
        <v>45</v>
      </c>
      <c r="B10" t="s">
        <v>46</v>
      </c>
      <c r="C10" t="s">
        <v>38</v>
      </c>
      <c r="D10">
        <v>13</v>
      </c>
      <c r="E10">
        <v>219</v>
      </c>
      <c r="F10">
        <v>1476307</v>
      </c>
      <c r="G10">
        <v>5.57</v>
      </c>
      <c r="H10">
        <v>0.43</v>
      </c>
      <c r="I10">
        <v>-7047</v>
      </c>
      <c r="J10">
        <v>489277</v>
      </c>
      <c r="K10">
        <v>1414</v>
      </c>
      <c r="L10">
        <v>54</v>
      </c>
      <c r="M10">
        <v>91</v>
      </c>
      <c r="N10">
        <v>6744</v>
      </c>
      <c r="O10">
        <v>853450</v>
      </c>
      <c r="P10">
        <v>76</v>
      </c>
      <c r="Q10" t="s">
        <v>27</v>
      </c>
      <c r="R10">
        <v>59</v>
      </c>
      <c r="S10" t="s">
        <v>23</v>
      </c>
    </row>
    <row r="11" spans="1:19">
      <c r="A11" t="s">
        <v>47</v>
      </c>
      <c r="B11" t="s">
        <v>48</v>
      </c>
      <c r="C11" t="s">
        <v>21</v>
      </c>
      <c r="D11">
        <v>17</v>
      </c>
      <c r="E11">
        <v>64</v>
      </c>
      <c r="F11">
        <v>3337162</v>
      </c>
      <c r="G11">
        <v>14.18</v>
      </c>
      <c r="H11">
        <v>0.78</v>
      </c>
      <c r="I11">
        <v>200931</v>
      </c>
      <c r="J11">
        <v>666496</v>
      </c>
      <c r="K11">
        <v>480</v>
      </c>
      <c r="L11">
        <v>45</v>
      </c>
      <c r="M11">
        <v>98</v>
      </c>
      <c r="N11">
        <v>7699</v>
      </c>
      <c r="O11">
        <v>2961753</v>
      </c>
      <c r="P11">
        <v>60</v>
      </c>
      <c r="Q11" t="s">
        <v>27</v>
      </c>
      <c r="R11">
        <v>55</v>
      </c>
      <c r="S11" t="s">
        <v>23</v>
      </c>
    </row>
    <row r="12" spans="1:19">
      <c r="A12" t="s">
        <v>49</v>
      </c>
      <c r="B12" t="s">
        <v>50</v>
      </c>
      <c r="C12" t="s">
        <v>44</v>
      </c>
      <c r="D12">
        <v>14</v>
      </c>
      <c r="E12">
        <v>156</v>
      </c>
      <c r="F12">
        <v>2170427</v>
      </c>
      <c r="G12">
        <v>24.9</v>
      </c>
      <c r="H12">
        <v>0.9</v>
      </c>
      <c r="I12">
        <v>897409</v>
      </c>
      <c r="J12">
        <v>266833</v>
      </c>
      <c r="K12">
        <v>787</v>
      </c>
      <c r="L12">
        <v>63</v>
      </c>
      <c r="M12">
        <v>88</v>
      </c>
      <c r="N12">
        <v>5880</v>
      </c>
      <c r="O12">
        <v>1139680</v>
      </c>
      <c r="P12">
        <v>98</v>
      </c>
      <c r="Q12" t="s">
        <v>22</v>
      </c>
      <c r="R12">
        <v>74</v>
      </c>
      <c r="S12" t="s">
        <v>28</v>
      </c>
    </row>
    <row r="13" spans="1:19">
      <c r="A13" t="s">
        <v>51</v>
      </c>
      <c r="B13" t="s">
        <v>52</v>
      </c>
      <c r="C13" t="s">
        <v>31</v>
      </c>
      <c r="D13">
        <v>2</v>
      </c>
      <c r="E13">
        <v>40</v>
      </c>
      <c r="F13">
        <v>536057</v>
      </c>
      <c r="G13">
        <v>10.79</v>
      </c>
      <c r="H13">
        <v>0.14000000000000001</v>
      </c>
      <c r="I13">
        <v>732699</v>
      </c>
      <c r="J13">
        <v>848489</v>
      </c>
      <c r="K13">
        <v>565</v>
      </c>
      <c r="L13">
        <v>61</v>
      </c>
      <c r="M13">
        <v>67</v>
      </c>
      <c r="N13">
        <v>4689</v>
      </c>
      <c r="O13">
        <v>340965</v>
      </c>
      <c r="P13">
        <v>71</v>
      </c>
      <c r="Q13" t="s">
        <v>27</v>
      </c>
      <c r="R13">
        <v>68</v>
      </c>
      <c r="S13" t="s">
        <v>28</v>
      </c>
    </row>
    <row r="14" spans="1:19">
      <c r="A14" t="s">
        <v>53</v>
      </c>
      <c r="B14" t="s">
        <v>54</v>
      </c>
      <c r="C14" t="s">
        <v>55</v>
      </c>
      <c r="D14">
        <v>20</v>
      </c>
      <c r="E14">
        <v>164</v>
      </c>
      <c r="F14">
        <v>1492744</v>
      </c>
      <c r="G14">
        <v>9.08</v>
      </c>
      <c r="H14">
        <v>0.92</v>
      </c>
      <c r="I14">
        <v>990616</v>
      </c>
      <c r="J14">
        <v>345075</v>
      </c>
      <c r="K14">
        <v>1320</v>
      </c>
      <c r="L14">
        <v>76</v>
      </c>
      <c r="M14">
        <v>90</v>
      </c>
      <c r="N14">
        <v>7898</v>
      </c>
      <c r="O14">
        <v>927900</v>
      </c>
      <c r="P14">
        <v>75</v>
      </c>
      <c r="Q14" t="s">
        <v>27</v>
      </c>
      <c r="R14">
        <v>52</v>
      </c>
      <c r="S14" t="s">
        <v>23</v>
      </c>
    </row>
    <row r="15" spans="1:19">
      <c r="A15" t="s">
        <v>56</v>
      </c>
      <c r="B15" t="s">
        <v>57</v>
      </c>
      <c r="C15" t="s">
        <v>31</v>
      </c>
      <c r="D15">
        <v>7</v>
      </c>
      <c r="E15">
        <v>134</v>
      </c>
      <c r="F15">
        <v>842695</v>
      </c>
      <c r="G15">
        <v>15.44</v>
      </c>
      <c r="H15">
        <v>0.41</v>
      </c>
      <c r="I15">
        <v>619322</v>
      </c>
      <c r="J15">
        <v>112453</v>
      </c>
      <c r="K15">
        <v>597</v>
      </c>
      <c r="L15">
        <v>71</v>
      </c>
      <c r="M15">
        <v>84</v>
      </c>
      <c r="N15">
        <v>2100</v>
      </c>
      <c r="O15">
        <v>573182</v>
      </c>
      <c r="P15">
        <v>88</v>
      </c>
      <c r="Q15" t="s">
        <v>27</v>
      </c>
      <c r="R15">
        <v>72</v>
      </c>
      <c r="S15" t="s">
        <v>28</v>
      </c>
    </row>
    <row r="16" spans="1:19">
      <c r="A16" t="s">
        <v>58</v>
      </c>
      <c r="B16" t="s">
        <v>59</v>
      </c>
      <c r="C16" t="s">
        <v>44</v>
      </c>
      <c r="D16">
        <v>2</v>
      </c>
      <c r="E16">
        <v>43</v>
      </c>
      <c r="F16">
        <v>4183514</v>
      </c>
      <c r="G16">
        <v>13.98</v>
      </c>
      <c r="H16">
        <v>0.17</v>
      </c>
      <c r="I16">
        <v>62523</v>
      </c>
      <c r="J16">
        <v>622709</v>
      </c>
      <c r="K16">
        <v>1838</v>
      </c>
      <c r="L16">
        <v>56</v>
      </c>
      <c r="M16">
        <v>63</v>
      </c>
      <c r="N16">
        <v>1313</v>
      </c>
      <c r="O16">
        <v>3264006</v>
      </c>
      <c r="P16">
        <v>75</v>
      </c>
      <c r="Q16" t="s">
        <v>22</v>
      </c>
      <c r="R16">
        <v>72</v>
      </c>
      <c r="S16" t="s">
        <v>28</v>
      </c>
    </row>
    <row r="17" spans="1:19">
      <c r="A17" t="s">
        <v>60</v>
      </c>
      <c r="B17" t="s">
        <v>61</v>
      </c>
      <c r="C17" t="s">
        <v>41</v>
      </c>
      <c r="D17">
        <v>3</v>
      </c>
      <c r="E17">
        <v>117</v>
      </c>
      <c r="F17">
        <v>1257922</v>
      </c>
      <c r="G17">
        <v>13.67</v>
      </c>
      <c r="H17">
        <v>0.73</v>
      </c>
      <c r="I17">
        <v>576584</v>
      </c>
      <c r="J17">
        <v>660290</v>
      </c>
      <c r="K17">
        <v>1182</v>
      </c>
      <c r="L17">
        <v>83</v>
      </c>
      <c r="M17">
        <v>84</v>
      </c>
      <c r="N17">
        <v>7151</v>
      </c>
      <c r="O17">
        <v>1075766</v>
      </c>
      <c r="P17">
        <v>95</v>
      </c>
      <c r="Q17" t="s">
        <v>27</v>
      </c>
      <c r="R17">
        <v>66</v>
      </c>
      <c r="S17" t="s">
        <v>28</v>
      </c>
    </row>
    <row r="18" spans="1:19">
      <c r="A18" t="s">
        <v>62</v>
      </c>
      <c r="B18" t="s">
        <v>63</v>
      </c>
      <c r="C18" t="s">
        <v>64</v>
      </c>
      <c r="D18">
        <v>4</v>
      </c>
      <c r="E18">
        <v>228</v>
      </c>
      <c r="F18">
        <v>4410504</v>
      </c>
      <c r="G18">
        <v>8.85</v>
      </c>
      <c r="H18">
        <v>0.34</v>
      </c>
      <c r="I18">
        <v>145858</v>
      </c>
      <c r="J18">
        <v>750407</v>
      </c>
      <c r="K18">
        <v>1771</v>
      </c>
      <c r="L18">
        <v>68</v>
      </c>
      <c r="M18">
        <v>69</v>
      </c>
      <c r="N18">
        <v>2624</v>
      </c>
      <c r="O18">
        <v>3811133</v>
      </c>
      <c r="P18">
        <v>76</v>
      </c>
      <c r="Q18" t="s">
        <v>22</v>
      </c>
      <c r="R18">
        <v>64</v>
      </c>
      <c r="S18" t="s">
        <v>28</v>
      </c>
    </row>
    <row r="19" spans="1:19">
      <c r="A19" t="s">
        <v>65</v>
      </c>
      <c r="B19" t="s">
        <v>66</v>
      </c>
      <c r="C19" t="s">
        <v>64</v>
      </c>
      <c r="D19">
        <v>15</v>
      </c>
      <c r="E19">
        <v>187</v>
      </c>
      <c r="F19">
        <v>4396915</v>
      </c>
      <c r="G19">
        <v>4.6100000000000003</v>
      </c>
      <c r="H19">
        <v>0.93</v>
      </c>
      <c r="I19">
        <v>813752</v>
      </c>
      <c r="J19">
        <v>184708</v>
      </c>
      <c r="K19">
        <v>1231</v>
      </c>
      <c r="L19">
        <v>65</v>
      </c>
      <c r="M19">
        <v>71</v>
      </c>
      <c r="N19">
        <v>6341</v>
      </c>
      <c r="O19">
        <v>3422504</v>
      </c>
      <c r="P19">
        <v>86</v>
      </c>
      <c r="Q19" t="s">
        <v>22</v>
      </c>
      <c r="R19">
        <v>51</v>
      </c>
      <c r="S19" t="s">
        <v>23</v>
      </c>
    </row>
    <row r="20" spans="1:19">
      <c r="A20" t="s">
        <v>67</v>
      </c>
      <c r="B20" t="s">
        <v>68</v>
      </c>
      <c r="C20" t="s">
        <v>64</v>
      </c>
      <c r="D20">
        <v>20</v>
      </c>
      <c r="E20">
        <v>33</v>
      </c>
      <c r="F20">
        <v>2786933</v>
      </c>
      <c r="G20">
        <v>5.72</v>
      </c>
      <c r="H20">
        <v>1.1599999999999999</v>
      </c>
      <c r="I20">
        <v>210951</v>
      </c>
      <c r="J20">
        <v>179293</v>
      </c>
      <c r="K20">
        <v>603</v>
      </c>
      <c r="L20">
        <v>85</v>
      </c>
      <c r="M20">
        <v>65</v>
      </c>
      <c r="N20">
        <v>3951</v>
      </c>
      <c r="O20">
        <v>2281741</v>
      </c>
      <c r="P20">
        <v>95</v>
      </c>
      <c r="Q20" t="s">
        <v>22</v>
      </c>
      <c r="R20">
        <v>50</v>
      </c>
      <c r="S20" t="s">
        <v>23</v>
      </c>
    </row>
    <row r="21" spans="1:19">
      <c r="A21" t="s">
        <v>69</v>
      </c>
      <c r="B21" t="s">
        <v>70</v>
      </c>
      <c r="C21" t="s">
        <v>26</v>
      </c>
      <c r="D21">
        <v>8</v>
      </c>
      <c r="E21">
        <v>204</v>
      </c>
      <c r="F21">
        <v>3980404</v>
      </c>
      <c r="G21">
        <v>4.5599999999999996</v>
      </c>
      <c r="H21">
        <v>0.99</v>
      </c>
      <c r="I21">
        <v>536625</v>
      </c>
      <c r="J21">
        <v>713998</v>
      </c>
      <c r="K21">
        <v>1100</v>
      </c>
      <c r="L21">
        <v>64</v>
      </c>
      <c r="M21">
        <v>64</v>
      </c>
      <c r="N21">
        <v>2171</v>
      </c>
      <c r="O21">
        <v>3448242</v>
      </c>
      <c r="P21">
        <v>98</v>
      </c>
      <c r="Q21" t="s">
        <v>27</v>
      </c>
      <c r="R21">
        <v>54</v>
      </c>
      <c r="S21" t="s">
        <v>23</v>
      </c>
    </row>
    <row r="22" spans="1:19">
      <c r="A22" t="s">
        <v>71</v>
      </c>
      <c r="B22" t="s">
        <v>72</v>
      </c>
      <c r="C22" t="s">
        <v>55</v>
      </c>
      <c r="D22">
        <v>3</v>
      </c>
      <c r="E22">
        <v>161</v>
      </c>
      <c r="F22">
        <v>1278150</v>
      </c>
      <c r="G22">
        <v>6.18</v>
      </c>
      <c r="H22">
        <v>0.71</v>
      </c>
      <c r="I22">
        <v>-23569</v>
      </c>
      <c r="J22">
        <v>372073</v>
      </c>
      <c r="K22">
        <v>1037</v>
      </c>
      <c r="L22">
        <v>85</v>
      </c>
      <c r="M22">
        <v>97</v>
      </c>
      <c r="N22">
        <v>6913</v>
      </c>
      <c r="O22">
        <v>724775</v>
      </c>
      <c r="P22">
        <v>87</v>
      </c>
      <c r="Q22" t="s">
        <v>22</v>
      </c>
      <c r="R22">
        <v>57</v>
      </c>
      <c r="S22" t="s">
        <v>23</v>
      </c>
    </row>
    <row r="23" spans="1:19">
      <c r="A23" t="s">
        <v>73</v>
      </c>
      <c r="B23" t="s">
        <v>74</v>
      </c>
      <c r="C23" t="s">
        <v>75</v>
      </c>
      <c r="D23">
        <v>18</v>
      </c>
      <c r="E23">
        <v>30</v>
      </c>
      <c r="F23">
        <v>594376</v>
      </c>
      <c r="G23">
        <v>7</v>
      </c>
      <c r="H23">
        <v>0.15</v>
      </c>
      <c r="I23">
        <v>728452</v>
      </c>
      <c r="J23">
        <v>221989</v>
      </c>
      <c r="K23">
        <v>1717</v>
      </c>
      <c r="L23">
        <v>54</v>
      </c>
      <c r="M23">
        <v>78</v>
      </c>
      <c r="N23">
        <v>556</v>
      </c>
      <c r="O23">
        <v>511133</v>
      </c>
      <c r="P23">
        <v>73</v>
      </c>
      <c r="Q23" t="s">
        <v>27</v>
      </c>
      <c r="R23">
        <v>65</v>
      </c>
      <c r="S23" t="s">
        <v>28</v>
      </c>
    </row>
    <row r="24" spans="1:19">
      <c r="A24" t="s">
        <v>76</v>
      </c>
      <c r="B24" t="s">
        <v>77</v>
      </c>
      <c r="C24" t="s">
        <v>26</v>
      </c>
      <c r="D24">
        <v>9</v>
      </c>
      <c r="E24">
        <v>205</v>
      </c>
      <c r="F24">
        <v>3679119</v>
      </c>
      <c r="G24">
        <v>10.87</v>
      </c>
      <c r="H24">
        <v>1.06</v>
      </c>
      <c r="I24">
        <v>-74260</v>
      </c>
      <c r="J24">
        <v>967112</v>
      </c>
      <c r="K24">
        <v>149</v>
      </c>
      <c r="L24">
        <v>57</v>
      </c>
      <c r="M24">
        <v>82</v>
      </c>
      <c r="N24">
        <v>4348</v>
      </c>
      <c r="O24">
        <v>1891168</v>
      </c>
      <c r="P24">
        <v>94</v>
      </c>
      <c r="Q24" t="s">
        <v>27</v>
      </c>
      <c r="R24">
        <v>57</v>
      </c>
      <c r="S24" t="s">
        <v>23</v>
      </c>
    </row>
    <row r="25" spans="1:19">
      <c r="A25" t="s">
        <v>78</v>
      </c>
      <c r="B25" t="s">
        <v>79</v>
      </c>
      <c r="C25" t="s">
        <v>41</v>
      </c>
      <c r="D25">
        <v>8</v>
      </c>
      <c r="E25">
        <v>96</v>
      </c>
      <c r="F25">
        <v>2850077</v>
      </c>
      <c r="G25">
        <v>11.82</v>
      </c>
      <c r="H25">
        <v>0.38</v>
      </c>
      <c r="I25">
        <v>203114</v>
      </c>
      <c r="J25">
        <v>962944</v>
      </c>
      <c r="K25">
        <v>1052</v>
      </c>
      <c r="L25">
        <v>82</v>
      </c>
      <c r="M25">
        <v>76</v>
      </c>
      <c r="N25">
        <v>1551</v>
      </c>
      <c r="O25">
        <v>1531079</v>
      </c>
      <c r="P25">
        <v>86</v>
      </c>
      <c r="Q25" t="s">
        <v>22</v>
      </c>
      <c r="R25">
        <v>69</v>
      </c>
      <c r="S25" t="s">
        <v>28</v>
      </c>
    </row>
    <row r="26" spans="1:19">
      <c r="A26" t="s">
        <v>80</v>
      </c>
      <c r="B26" t="s">
        <v>81</v>
      </c>
      <c r="C26" t="s">
        <v>64</v>
      </c>
      <c r="D26">
        <v>17</v>
      </c>
      <c r="E26">
        <v>65</v>
      </c>
      <c r="F26">
        <v>4012548</v>
      </c>
      <c r="G26">
        <v>23.17</v>
      </c>
      <c r="H26">
        <v>1.07</v>
      </c>
      <c r="I26">
        <v>969337</v>
      </c>
      <c r="J26">
        <v>952401</v>
      </c>
      <c r="K26">
        <v>1256</v>
      </c>
      <c r="L26">
        <v>54</v>
      </c>
      <c r="M26">
        <v>74</v>
      </c>
      <c r="N26">
        <v>4587</v>
      </c>
      <c r="O26">
        <v>2331269</v>
      </c>
      <c r="P26">
        <v>96</v>
      </c>
      <c r="Q26" t="s">
        <v>22</v>
      </c>
      <c r="R26">
        <v>68</v>
      </c>
      <c r="S26" t="s">
        <v>28</v>
      </c>
    </row>
    <row r="27" spans="1:19">
      <c r="A27" t="s">
        <v>82</v>
      </c>
      <c r="B27" t="s">
        <v>83</v>
      </c>
      <c r="C27" t="s">
        <v>31</v>
      </c>
      <c r="D27">
        <v>12</v>
      </c>
      <c r="E27">
        <v>155</v>
      </c>
      <c r="F27">
        <v>1119816</v>
      </c>
      <c r="G27">
        <v>24.32</v>
      </c>
      <c r="H27">
        <v>0.11</v>
      </c>
      <c r="I27">
        <v>727072</v>
      </c>
      <c r="J27">
        <v>137937</v>
      </c>
      <c r="K27">
        <v>1552</v>
      </c>
      <c r="L27">
        <v>73</v>
      </c>
      <c r="M27">
        <v>83</v>
      </c>
      <c r="N27">
        <v>6200</v>
      </c>
      <c r="O27">
        <v>953378</v>
      </c>
      <c r="P27">
        <v>63</v>
      </c>
      <c r="Q27" t="s">
        <v>22</v>
      </c>
      <c r="R27">
        <v>79</v>
      </c>
      <c r="S27" t="s">
        <v>28</v>
      </c>
    </row>
    <row r="28" spans="1:19">
      <c r="A28" t="s">
        <v>84</v>
      </c>
      <c r="B28" t="s">
        <v>85</v>
      </c>
      <c r="C28" t="s">
        <v>64</v>
      </c>
      <c r="D28">
        <v>10</v>
      </c>
      <c r="E28">
        <v>141</v>
      </c>
      <c r="F28">
        <v>4394022</v>
      </c>
      <c r="G28">
        <v>7.63</v>
      </c>
      <c r="H28">
        <v>0.69</v>
      </c>
      <c r="I28">
        <v>764439</v>
      </c>
      <c r="J28">
        <v>425552</v>
      </c>
      <c r="K28">
        <v>1720</v>
      </c>
      <c r="L28">
        <v>84</v>
      </c>
      <c r="M28">
        <v>93</v>
      </c>
      <c r="N28">
        <v>3971</v>
      </c>
      <c r="O28">
        <v>2541937</v>
      </c>
      <c r="P28">
        <v>84</v>
      </c>
      <c r="Q28" t="s">
        <v>22</v>
      </c>
      <c r="R28">
        <v>58</v>
      </c>
      <c r="S28" t="s">
        <v>23</v>
      </c>
    </row>
    <row r="29" spans="1:19">
      <c r="A29" t="s">
        <v>86</v>
      </c>
      <c r="B29" t="s">
        <v>87</v>
      </c>
      <c r="C29" t="s">
        <v>55</v>
      </c>
      <c r="D29">
        <v>18</v>
      </c>
      <c r="E29">
        <v>93</v>
      </c>
      <c r="F29">
        <v>3308373</v>
      </c>
      <c r="G29">
        <v>2.83</v>
      </c>
      <c r="H29">
        <v>0.18</v>
      </c>
      <c r="I29">
        <v>444694</v>
      </c>
      <c r="J29">
        <v>696689</v>
      </c>
      <c r="K29">
        <v>1272</v>
      </c>
      <c r="L29">
        <v>67</v>
      </c>
      <c r="M29">
        <v>65</v>
      </c>
      <c r="N29">
        <v>5262</v>
      </c>
      <c r="O29">
        <v>3001887</v>
      </c>
      <c r="P29">
        <v>95</v>
      </c>
      <c r="Q29" t="s">
        <v>27</v>
      </c>
      <c r="R29">
        <v>67</v>
      </c>
      <c r="S29" t="s">
        <v>28</v>
      </c>
    </row>
    <row r="30" spans="1:19">
      <c r="A30" t="s">
        <v>88</v>
      </c>
      <c r="B30" t="s">
        <v>89</v>
      </c>
      <c r="C30" t="s">
        <v>21</v>
      </c>
      <c r="D30">
        <v>19</v>
      </c>
      <c r="E30">
        <v>80</v>
      </c>
      <c r="F30">
        <v>4374032</v>
      </c>
      <c r="G30">
        <v>18.39</v>
      </c>
      <c r="H30">
        <v>1.03</v>
      </c>
      <c r="I30">
        <v>-81865</v>
      </c>
      <c r="J30">
        <v>117450</v>
      </c>
      <c r="K30">
        <v>1783</v>
      </c>
      <c r="L30">
        <v>46</v>
      </c>
      <c r="M30">
        <v>64</v>
      </c>
      <c r="N30">
        <v>1983</v>
      </c>
      <c r="O30">
        <v>3462523</v>
      </c>
      <c r="P30">
        <v>90</v>
      </c>
      <c r="Q30" t="s">
        <v>27</v>
      </c>
      <c r="R30">
        <v>63</v>
      </c>
      <c r="S30" t="s">
        <v>28</v>
      </c>
    </row>
    <row r="31" spans="1:19">
      <c r="A31" t="s">
        <v>90</v>
      </c>
      <c r="B31" t="s">
        <v>91</v>
      </c>
      <c r="C31" t="s">
        <v>21</v>
      </c>
      <c r="D31">
        <v>16</v>
      </c>
      <c r="E31">
        <v>168</v>
      </c>
      <c r="F31">
        <v>4453833</v>
      </c>
      <c r="G31">
        <v>5</v>
      </c>
      <c r="H31">
        <v>0.76</v>
      </c>
      <c r="I31">
        <v>66198</v>
      </c>
      <c r="J31">
        <v>541522</v>
      </c>
      <c r="K31">
        <v>1046</v>
      </c>
      <c r="L31">
        <v>94</v>
      </c>
      <c r="M31">
        <v>72</v>
      </c>
      <c r="N31">
        <v>541</v>
      </c>
      <c r="O31">
        <v>3767578</v>
      </c>
      <c r="P31">
        <v>91</v>
      </c>
      <c r="Q31" t="s">
        <v>22</v>
      </c>
      <c r="R31">
        <v>57</v>
      </c>
      <c r="S31" t="s">
        <v>23</v>
      </c>
    </row>
    <row r="32" spans="1:19">
      <c r="A32" t="s">
        <v>92</v>
      </c>
      <c r="B32" t="s">
        <v>93</v>
      </c>
      <c r="C32" t="s">
        <v>38</v>
      </c>
      <c r="D32">
        <v>15</v>
      </c>
      <c r="E32">
        <v>217</v>
      </c>
      <c r="F32">
        <v>3361736</v>
      </c>
      <c r="G32">
        <v>21.24</v>
      </c>
      <c r="H32">
        <v>1.1000000000000001</v>
      </c>
      <c r="I32">
        <v>732007</v>
      </c>
      <c r="J32">
        <v>337204</v>
      </c>
      <c r="K32">
        <v>1358</v>
      </c>
      <c r="L32">
        <v>71</v>
      </c>
      <c r="M32">
        <v>60</v>
      </c>
      <c r="N32">
        <v>6388</v>
      </c>
      <c r="O32">
        <v>2203346</v>
      </c>
      <c r="P32">
        <v>71</v>
      </c>
      <c r="Q32" t="s">
        <v>27</v>
      </c>
      <c r="R32">
        <v>58</v>
      </c>
      <c r="S32" t="s">
        <v>23</v>
      </c>
    </row>
    <row r="33" spans="1:19">
      <c r="A33" t="s">
        <v>94</v>
      </c>
      <c r="B33" t="s">
        <v>95</v>
      </c>
      <c r="C33" t="s">
        <v>41</v>
      </c>
      <c r="D33">
        <v>12</v>
      </c>
      <c r="E33">
        <v>84</v>
      </c>
      <c r="F33">
        <v>1219442</v>
      </c>
      <c r="G33">
        <v>7.52</v>
      </c>
      <c r="H33">
        <v>0.8</v>
      </c>
      <c r="I33">
        <v>860833</v>
      </c>
      <c r="J33">
        <v>552814</v>
      </c>
      <c r="K33">
        <v>1007</v>
      </c>
      <c r="L33">
        <v>51</v>
      </c>
      <c r="M33">
        <v>97</v>
      </c>
      <c r="N33">
        <v>4602</v>
      </c>
      <c r="O33">
        <v>776079</v>
      </c>
      <c r="P33">
        <v>63</v>
      </c>
      <c r="Q33" t="s">
        <v>22</v>
      </c>
      <c r="R33">
        <v>50</v>
      </c>
      <c r="S33" t="s">
        <v>23</v>
      </c>
    </row>
    <row r="34" spans="1:19">
      <c r="A34" t="s">
        <v>96</v>
      </c>
      <c r="B34" t="s">
        <v>97</v>
      </c>
      <c r="C34" t="s">
        <v>31</v>
      </c>
      <c r="D34">
        <v>5</v>
      </c>
      <c r="E34">
        <v>71</v>
      </c>
      <c r="F34">
        <v>4742291</v>
      </c>
      <c r="G34">
        <v>10.96</v>
      </c>
      <c r="H34">
        <v>0.41</v>
      </c>
      <c r="I34">
        <v>308310</v>
      </c>
      <c r="J34">
        <v>266158</v>
      </c>
      <c r="K34">
        <v>959</v>
      </c>
      <c r="L34">
        <v>54</v>
      </c>
      <c r="M34">
        <v>60</v>
      </c>
      <c r="N34">
        <v>4467</v>
      </c>
      <c r="O34">
        <v>3695145</v>
      </c>
      <c r="P34">
        <v>97</v>
      </c>
      <c r="Q34" t="s">
        <v>22</v>
      </c>
      <c r="R34">
        <v>71</v>
      </c>
      <c r="S34" t="s">
        <v>28</v>
      </c>
    </row>
    <row r="35" spans="1:19">
      <c r="A35" t="s">
        <v>98</v>
      </c>
      <c r="B35" t="s">
        <v>99</v>
      </c>
      <c r="C35" t="s">
        <v>21</v>
      </c>
      <c r="D35">
        <v>7</v>
      </c>
      <c r="E35">
        <v>239</v>
      </c>
      <c r="F35">
        <v>931182</v>
      </c>
      <c r="G35">
        <v>3.73</v>
      </c>
      <c r="H35">
        <v>0.6</v>
      </c>
      <c r="I35">
        <v>691084</v>
      </c>
      <c r="J35">
        <v>562293</v>
      </c>
      <c r="K35">
        <v>499</v>
      </c>
      <c r="L35">
        <v>61</v>
      </c>
      <c r="M35">
        <v>63</v>
      </c>
      <c r="N35">
        <v>2808</v>
      </c>
      <c r="O35">
        <v>602904</v>
      </c>
      <c r="P35">
        <v>66</v>
      </c>
      <c r="Q35" t="s">
        <v>27</v>
      </c>
      <c r="R35">
        <v>51</v>
      </c>
      <c r="S35" t="s">
        <v>23</v>
      </c>
    </row>
    <row r="36" spans="1:19">
      <c r="A36" t="s">
        <v>100</v>
      </c>
      <c r="B36" t="s">
        <v>101</v>
      </c>
      <c r="C36" t="s">
        <v>55</v>
      </c>
      <c r="D36">
        <v>16</v>
      </c>
      <c r="E36">
        <v>166</v>
      </c>
      <c r="F36">
        <v>4835073</v>
      </c>
      <c r="G36">
        <v>23.9</v>
      </c>
      <c r="H36">
        <v>0.22</v>
      </c>
      <c r="I36">
        <v>-7206</v>
      </c>
      <c r="J36">
        <v>613244</v>
      </c>
      <c r="K36">
        <v>1879</v>
      </c>
      <c r="L36">
        <v>63</v>
      </c>
      <c r="M36">
        <v>72</v>
      </c>
      <c r="N36">
        <v>2825</v>
      </c>
      <c r="O36">
        <v>3380271</v>
      </c>
      <c r="P36">
        <v>64</v>
      </c>
      <c r="Q36" t="s">
        <v>22</v>
      </c>
      <c r="R36">
        <v>76</v>
      </c>
      <c r="S36" t="s">
        <v>28</v>
      </c>
    </row>
    <row r="37" spans="1:19">
      <c r="A37" t="s">
        <v>102</v>
      </c>
      <c r="B37" t="s">
        <v>103</v>
      </c>
      <c r="C37" t="s">
        <v>26</v>
      </c>
      <c r="D37">
        <v>20</v>
      </c>
      <c r="E37">
        <v>25</v>
      </c>
      <c r="F37">
        <v>2653917</v>
      </c>
      <c r="G37">
        <v>2.34</v>
      </c>
      <c r="H37">
        <v>0.38</v>
      </c>
      <c r="I37">
        <v>-51015</v>
      </c>
      <c r="J37">
        <v>587224</v>
      </c>
      <c r="K37">
        <v>603</v>
      </c>
      <c r="L37">
        <v>80</v>
      </c>
      <c r="M37">
        <v>75</v>
      </c>
      <c r="N37">
        <v>6134</v>
      </c>
      <c r="O37">
        <v>1910280</v>
      </c>
      <c r="P37">
        <v>92</v>
      </c>
      <c r="Q37" t="s">
        <v>27</v>
      </c>
      <c r="R37">
        <v>62</v>
      </c>
      <c r="S37" t="s">
        <v>28</v>
      </c>
    </row>
    <row r="38" spans="1:19">
      <c r="A38" t="s">
        <v>104</v>
      </c>
      <c r="B38" t="s">
        <v>105</v>
      </c>
      <c r="C38" t="s">
        <v>64</v>
      </c>
      <c r="D38">
        <v>6</v>
      </c>
      <c r="E38">
        <v>188</v>
      </c>
      <c r="F38">
        <v>1332380</v>
      </c>
      <c r="G38">
        <v>24.71</v>
      </c>
      <c r="H38">
        <v>0.45</v>
      </c>
      <c r="I38">
        <v>142615</v>
      </c>
      <c r="J38">
        <v>282612</v>
      </c>
      <c r="K38">
        <v>815</v>
      </c>
      <c r="L38">
        <v>68</v>
      </c>
      <c r="M38">
        <v>62</v>
      </c>
      <c r="N38">
        <v>1854</v>
      </c>
      <c r="O38">
        <v>848243</v>
      </c>
      <c r="P38">
        <v>63</v>
      </c>
      <c r="Q38" t="s">
        <v>22</v>
      </c>
      <c r="R38">
        <v>72</v>
      </c>
      <c r="S38" t="s">
        <v>28</v>
      </c>
    </row>
    <row r="39" spans="1:19">
      <c r="A39" t="s">
        <v>106</v>
      </c>
      <c r="B39" t="s">
        <v>107</v>
      </c>
      <c r="C39" t="s">
        <v>64</v>
      </c>
      <c r="D39">
        <v>9</v>
      </c>
      <c r="E39">
        <v>75</v>
      </c>
      <c r="F39">
        <v>1937907</v>
      </c>
      <c r="G39">
        <v>22.92</v>
      </c>
      <c r="H39">
        <v>0.75</v>
      </c>
      <c r="I39">
        <v>961509</v>
      </c>
      <c r="J39">
        <v>234621</v>
      </c>
      <c r="K39">
        <v>748</v>
      </c>
      <c r="L39">
        <v>71</v>
      </c>
      <c r="M39">
        <v>76</v>
      </c>
      <c r="N39">
        <v>7307</v>
      </c>
      <c r="O39">
        <v>1259147</v>
      </c>
      <c r="P39">
        <v>95</v>
      </c>
      <c r="Q39" t="s">
        <v>27</v>
      </c>
      <c r="R39">
        <v>74</v>
      </c>
      <c r="S39" t="s">
        <v>28</v>
      </c>
    </row>
    <row r="40" spans="1:19">
      <c r="A40" t="s">
        <v>108</v>
      </c>
      <c r="B40" t="s">
        <v>109</v>
      </c>
      <c r="C40" t="s">
        <v>110</v>
      </c>
      <c r="D40">
        <v>12</v>
      </c>
      <c r="E40">
        <v>81</v>
      </c>
      <c r="F40">
        <v>4744239</v>
      </c>
      <c r="G40">
        <v>9.24</v>
      </c>
      <c r="H40">
        <v>0.7</v>
      </c>
      <c r="I40">
        <v>213922</v>
      </c>
      <c r="J40">
        <v>559209</v>
      </c>
      <c r="K40">
        <v>245</v>
      </c>
      <c r="L40">
        <v>57</v>
      </c>
      <c r="M40">
        <v>82</v>
      </c>
      <c r="N40">
        <v>7387</v>
      </c>
      <c r="O40">
        <v>4058087</v>
      </c>
      <c r="P40">
        <v>73</v>
      </c>
      <c r="Q40" t="s">
        <v>22</v>
      </c>
      <c r="R40">
        <v>56</v>
      </c>
      <c r="S40" t="s">
        <v>23</v>
      </c>
    </row>
    <row r="41" spans="1:19">
      <c r="A41" t="s">
        <v>111</v>
      </c>
      <c r="B41" t="s">
        <v>112</v>
      </c>
      <c r="C41" t="s">
        <v>110</v>
      </c>
      <c r="D41">
        <v>16</v>
      </c>
      <c r="E41">
        <v>194</v>
      </c>
      <c r="F41">
        <v>3639402</v>
      </c>
      <c r="G41">
        <v>12.71</v>
      </c>
      <c r="H41">
        <v>1.03</v>
      </c>
      <c r="I41">
        <v>522424</v>
      </c>
      <c r="J41">
        <v>285289</v>
      </c>
      <c r="K41">
        <v>528</v>
      </c>
      <c r="L41">
        <v>64</v>
      </c>
      <c r="M41">
        <v>61</v>
      </c>
      <c r="N41">
        <v>6209</v>
      </c>
      <c r="O41">
        <v>2421598</v>
      </c>
      <c r="P41">
        <v>95</v>
      </c>
      <c r="Q41" t="s">
        <v>27</v>
      </c>
      <c r="R41">
        <v>59</v>
      </c>
      <c r="S41" t="s">
        <v>23</v>
      </c>
    </row>
    <row r="42" spans="1:19">
      <c r="A42" t="s">
        <v>113</v>
      </c>
      <c r="B42" t="s">
        <v>114</v>
      </c>
      <c r="C42" t="s">
        <v>64</v>
      </c>
      <c r="D42">
        <v>3</v>
      </c>
      <c r="E42">
        <v>46</v>
      </c>
      <c r="F42">
        <v>1526485</v>
      </c>
      <c r="G42">
        <v>5.86</v>
      </c>
      <c r="H42">
        <v>0.24</v>
      </c>
      <c r="I42">
        <v>805892</v>
      </c>
      <c r="J42">
        <v>366657</v>
      </c>
      <c r="K42">
        <v>1025</v>
      </c>
      <c r="L42">
        <v>88</v>
      </c>
      <c r="M42">
        <v>74</v>
      </c>
      <c r="N42">
        <v>3063</v>
      </c>
      <c r="O42">
        <v>1046013</v>
      </c>
      <c r="P42">
        <v>85</v>
      </c>
      <c r="Q42" t="s">
        <v>27</v>
      </c>
      <c r="R42">
        <v>66</v>
      </c>
      <c r="S42" t="s">
        <v>28</v>
      </c>
    </row>
    <row r="43" spans="1:19">
      <c r="A43" t="s">
        <v>115</v>
      </c>
      <c r="B43" t="s">
        <v>116</v>
      </c>
      <c r="C43" t="s">
        <v>44</v>
      </c>
      <c r="D43">
        <v>15</v>
      </c>
      <c r="E43">
        <v>74</v>
      </c>
      <c r="F43">
        <v>4021714</v>
      </c>
      <c r="G43">
        <v>23.53</v>
      </c>
      <c r="H43">
        <v>0.24</v>
      </c>
      <c r="I43">
        <v>834809</v>
      </c>
      <c r="J43">
        <v>869478</v>
      </c>
      <c r="K43">
        <v>972</v>
      </c>
      <c r="L43">
        <v>51</v>
      </c>
      <c r="M43">
        <v>71</v>
      </c>
      <c r="N43">
        <v>4253</v>
      </c>
      <c r="O43">
        <v>2187837</v>
      </c>
      <c r="P43">
        <v>75</v>
      </c>
      <c r="Q43" t="s">
        <v>27</v>
      </c>
      <c r="R43">
        <v>79</v>
      </c>
      <c r="S43" t="s">
        <v>28</v>
      </c>
    </row>
    <row r="44" spans="1:19">
      <c r="A44" t="s">
        <v>117</v>
      </c>
      <c r="B44" t="s">
        <v>118</v>
      </c>
      <c r="C44" t="s">
        <v>110</v>
      </c>
      <c r="D44">
        <v>6</v>
      </c>
      <c r="E44">
        <v>187</v>
      </c>
      <c r="F44">
        <v>724525</v>
      </c>
      <c r="G44">
        <v>8.84</v>
      </c>
      <c r="H44">
        <v>0.2</v>
      </c>
      <c r="I44">
        <v>634776</v>
      </c>
      <c r="J44">
        <v>372957</v>
      </c>
      <c r="K44">
        <v>233</v>
      </c>
      <c r="L44">
        <v>84</v>
      </c>
      <c r="M44">
        <v>81</v>
      </c>
      <c r="N44">
        <v>5191</v>
      </c>
      <c r="O44">
        <v>497485</v>
      </c>
      <c r="P44">
        <v>64</v>
      </c>
      <c r="Q44" t="s">
        <v>22</v>
      </c>
      <c r="R44">
        <v>63</v>
      </c>
      <c r="S44" t="s">
        <v>28</v>
      </c>
    </row>
    <row r="45" spans="1:19">
      <c r="A45" t="s">
        <v>119</v>
      </c>
      <c r="B45" t="s">
        <v>120</v>
      </c>
      <c r="C45" t="s">
        <v>26</v>
      </c>
      <c r="D45">
        <v>11</v>
      </c>
      <c r="E45">
        <v>202</v>
      </c>
      <c r="F45">
        <v>1641563</v>
      </c>
      <c r="G45">
        <v>9.25</v>
      </c>
      <c r="H45">
        <v>0.14000000000000001</v>
      </c>
      <c r="I45">
        <v>792104</v>
      </c>
      <c r="J45">
        <v>228700</v>
      </c>
      <c r="K45">
        <v>1926</v>
      </c>
      <c r="L45">
        <v>57</v>
      </c>
      <c r="M45">
        <v>77</v>
      </c>
      <c r="N45">
        <v>2411</v>
      </c>
      <c r="O45">
        <v>1264174</v>
      </c>
      <c r="P45">
        <v>68</v>
      </c>
      <c r="Q45" t="s">
        <v>22</v>
      </c>
      <c r="R45">
        <v>66</v>
      </c>
      <c r="S45" t="s">
        <v>28</v>
      </c>
    </row>
    <row r="46" spans="1:19">
      <c r="A46" t="s">
        <v>121</v>
      </c>
      <c r="B46" t="s">
        <v>122</v>
      </c>
      <c r="C46" t="s">
        <v>31</v>
      </c>
      <c r="D46">
        <v>6</v>
      </c>
      <c r="E46">
        <v>26</v>
      </c>
      <c r="F46">
        <v>2276629</v>
      </c>
      <c r="G46">
        <v>4.1100000000000003</v>
      </c>
      <c r="H46">
        <v>0.92</v>
      </c>
      <c r="I46">
        <v>880098</v>
      </c>
      <c r="J46">
        <v>874014</v>
      </c>
      <c r="K46">
        <v>819</v>
      </c>
      <c r="L46">
        <v>46</v>
      </c>
      <c r="M46">
        <v>82</v>
      </c>
      <c r="N46">
        <v>2356</v>
      </c>
      <c r="O46">
        <v>1965188</v>
      </c>
      <c r="P46">
        <v>70</v>
      </c>
      <c r="Q46" t="s">
        <v>27</v>
      </c>
      <c r="R46">
        <v>46</v>
      </c>
      <c r="S46" t="s">
        <v>23</v>
      </c>
    </row>
    <row r="47" spans="1:19">
      <c r="A47" t="s">
        <v>123</v>
      </c>
      <c r="B47" t="s">
        <v>124</v>
      </c>
      <c r="C47" t="s">
        <v>41</v>
      </c>
      <c r="D47">
        <v>19</v>
      </c>
      <c r="E47">
        <v>231</v>
      </c>
      <c r="F47">
        <v>2208712</v>
      </c>
      <c r="G47">
        <v>2.86</v>
      </c>
      <c r="H47">
        <v>0.45</v>
      </c>
      <c r="I47">
        <v>-52009</v>
      </c>
      <c r="J47">
        <v>907652</v>
      </c>
      <c r="K47">
        <v>1745</v>
      </c>
      <c r="L47">
        <v>92</v>
      </c>
      <c r="M47">
        <v>93</v>
      </c>
      <c r="N47">
        <v>885</v>
      </c>
      <c r="O47">
        <v>1821644</v>
      </c>
      <c r="P47">
        <v>82</v>
      </c>
      <c r="Q47" t="s">
        <v>27</v>
      </c>
      <c r="R47">
        <v>58</v>
      </c>
      <c r="S47" t="s">
        <v>23</v>
      </c>
    </row>
    <row r="48" spans="1:19">
      <c r="A48" t="s">
        <v>125</v>
      </c>
      <c r="B48" t="s">
        <v>126</v>
      </c>
      <c r="C48" t="s">
        <v>31</v>
      </c>
      <c r="D48">
        <v>12</v>
      </c>
      <c r="E48">
        <v>66</v>
      </c>
      <c r="F48">
        <v>691480</v>
      </c>
      <c r="G48">
        <v>24.58</v>
      </c>
      <c r="H48">
        <v>0.71</v>
      </c>
      <c r="I48">
        <v>-98855</v>
      </c>
      <c r="J48">
        <v>984742</v>
      </c>
      <c r="K48">
        <v>1387</v>
      </c>
      <c r="L48">
        <v>68</v>
      </c>
      <c r="M48">
        <v>71</v>
      </c>
      <c r="N48">
        <v>865</v>
      </c>
      <c r="O48">
        <v>487679</v>
      </c>
      <c r="P48">
        <v>67</v>
      </c>
      <c r="Q48" t="s">
        <v>22</v>
      </c>
      <c r="R48">
        <v>68</v>
      </c>
      <c r="S48" t="s">
        <v>28</v>
      </c>
    </row>
    <row r="49" spans="1:19">
      <c r="A49" t="s">
        <v>127</v>
      </c>
      <c r="B49" t="s">
        <v>128</v>
      </c>
      <c r="C49" t="s">
        <v>55</v>
      </c>
      <c r="D49">
        <v>3</v>
      </c>
      <c r="E49">
        <v>140</v>
      </c>
      <c r="F49">
        <v>3264047</v>
      </c>
      <c r="G49">
        <v>3.98</v>
      </c>
      <c r="H49">
        <v>0.56999999999999995</v>
      </c>
      <c r="I49">
        <v>73286</v>
      </c>
      <c r="J49">
        <v>981244</v>
      </c>
      <c r="K49">
        <v>613</v>
      </c>
      <c r="L49">
        <v>58</v>
      </c>
      <c r="M49">
        <v>76</v>
      </c>
      <c r="N49">
        <v>3708</v>
      </c>
      <c r="O49">
        <v>1672782</v>
      </c>
      <c r="P49">
        <v>95</v>
      </c>
      <c r="Q49" t="s">
        <v>27</v>
      </c>
      <c r="R49">
        <v>61</v>
      </c>
      <c r="S49" t="s">
        <v>28</v>
      </c>
    </row>
    <row r="50" spans="1:19">
      <c r="A50" t="s">
        <v>129</v>
      </c>
      <c r="B50" t="s">
        <v>130</v>
      </c>
      <c r="C50" t="s">
        <v>75</v>
      </c>
      <c r="D50">
        <v>17</v>
      </c>
      <c r="E50">
        <v>23</v>
      </c>
      <c r="F50">
        <v>1612366</v>
      </c>
      <c r="G50">
        <v>20.78</v>
      </c>
      <c r="H50">
        <v>0.45</v>
      </c>
      <c r="I50">
        <v>716188</v>
      </c>
      <c r="J50">
        <v>259136</v>
      </c>
      <c r="K50">
        <v>335</v>
      </c>
      <c r="L50">
        <v>95</v>
      </c>
      <c r="M50">
        <v>81</v>
      </c>
      <c r="N50">
        <v>6855</v>
      </c>
      <c r="O50">
        <v>1425327</v>
      </c>
      <c r="P50">
        <v>70</v>
      </c>
      <c r="Q50" t="s">
        <v>27</v>
      </c>
      <c r="R50">
        <v>71</v>
      </c>
      <c r="S50" t="s">
        <v>28</v>
      </c>
    </row>
    <row r="51" spans="1:19">
      <c r="A51" t="s">
        <v>131</v>
      </c>
      <c r="B51" t="s">
        <v>132</v>
      </c>
      <c r="C51" t="s">
        <v>21</v>
      </c>
      <c r="D51">
        <v>11</v>
      </c>
      <c r="E51">
        <v>206</v>
      </c>
      <c r="F51">
        <v>3075565</v>
      </c>
      <c r="G51">
        <v>9.58</v>
      </c>
      <c r="H51">
        <v>0.42</v>
      </c>
      <c r="I51">
        <v>814201</v>
      </c>
      <c r="J51">
        <v>178746</v>
      </c>
      <c r="K51">
        <v>622</v>
      </c>
      <c r="L51">
        <v>69</v>
      </c>
      <c r="M51">
        <v>86</v>
      </c>
      <c r="N51">
        <v>6560</v>
      </c>
      <c r="O51">
        <v>2800782</v>
      </c>
      <c r="P51">
        <v>69</v>
      </c>
      <c r="Q51" t="s">
        <v>22</v>
      </c>
      <c r="R51">
        <v>61</v>
      </c>
      <c r="S51" t="s">
        <v>28</v>
      </c>
    </row>
    <row r="52" spans="1:19">
      <c r="A52" t="s">
        <v>133</v>
      </c>
      <c r="B52" t="s">
        <v>134</v>
      </c>
      <c r="C52" t="s">
        <v>75</v>
      </c>
      <c r="D52">
        <v>10</v>
      </c>
      <c r="E52">
        <v>87</v>
      </c>
      <c r="F52">
        <v>1754121</v>
      </c>
      <c r="G52">
        <v>14</v>
      </c>
      <c r="H52">
        <v>0.61</v>
      </c>
      <c r="I52">
        <v>-4213</v>
      </c>
      <c r="J52">
        <v>277921</v>
      </c>
      <c r="K52">
        <v>1380</v>
      </c>
      <c r="L52">
        <v>54</v>
      </c>
      <c r="M52">
        <v>79</v>
      </c>
      <c r="N52">
        <v>7714</v>
      </c>
      <c r="O52">
        <v>1007205</v>
      </c>
      <c r="P52">
        <v>90</v>
      </c>
      <c r="Q52" t="s">
        <v>27</v>
      </c>
      <c r="R52">
        <v>67</v>
      </c>
      <c r="S52" t="s">
        <v>28</v>
      </c>
    </row>
    <row r="53" spans="1:19">
      <c r="A53" t="s">
        <v>135</v>
      </c>
      <c r="B53" t="s">
        <v>136</v>
      </c>
      <c r="C53" t="s">
        <v>55</v>
      </c>
      <c r="D53">
        <v>3</v>
      </c>
      <c r="E53">
        <v>41</v>
      </c>
      <c r="F53">
        <v>3746271</v>
      </c>
      <c r="G53">
        <v>22.79</v>
      </c>
      <c r="H53">
        <v>0.37</v>
      </c>
      <c r="I53">
        <v>318026</v>
      </c>
      <c r="J53">
        <v>597943</v>
      </c>
      <c r="K53">
        <v>1607</v>
      </c>
      <c r="L53">
        <v>50</v>
      </c>
      <c r="M53">
        <v>88</v>
      </c>
      <c r="N53">
        <v>3041</v>
      </c>
      <c r="O53">
        <v>1961555</v>
      </c>
      <c r="P53">
        <v>92</v>
      </c>
      <c r="Q53" t="s">
        <v>22</v>
      </c>
      <c r="R53">
        <v>81</v>
      </c>
      <c r="S53" t="s">
        <v>137</v>
      </c>
    </row>
    <row r="54" spans="1:19">
      <c r="A54" t="s">
        <v>138</v>
      </c>
      <c r="B54" t="s">
        <v>139</v>
      </c>
      <c r="C54" t="s">
        <v>55</v>
      </c>
      <c r="D54">
        <v>17</v>
      </c>
      <c r="E54">
        <v>19</v>
      </c>
      <c r="F54">
        <v>3021847</v>
      </c>
      <c r="G54">
        <v>22.94</v>
      </c>
      <c r="H54">
        <v>0.34</v>
      </c>
      <c r="I54">
        <v>909985</v>
      </c>
      <c r="J54">
        <v>431732</v>
      </c>
      <c r="K54">
        <v>1629</v>
      </c>
      <c r="L54">
        <v>86</v>
      </c>
      <c r="M54">
        <v>74</v>
      </c>
      <c r="N54">
        <v>7821</v>
      </c>
      <c r="O54">
        <v>2534133</v>
      </c>
      <c r="P54">
        <v>81</v>
      </c>
      <c r="Q54" t="s">
        <v>27</v>
      </c>
      <c r="R54">
        <v>78</v>
      </c>
      <c r="S54" t="s">
        <v>28</v>
      </c>
    </row>
    <row r="55" spans="1:19">
      <c r="A55" t="s">
        <v>140</v>
      </c>
      <c r="B55" t="s">
        <v>141</v>
      </c>
      <c r="C55" t="s">
        <v>64</v>
      </c>
      <c r="D55">
        <v>8</v>
      </c>
      <c r="E55">
        <v>191</v>
      </c>
      <c r="F55">
        <v>3665786</v>
      </c>
      <c r="G55">
        <v>18.55</v>
      </c>
      <c r="H55">
        <v>0.56999999999999995</v>
      </c>
      <c r="I55">
        <v>901412</v>
      </c>
      <c r="J55">
        <v>990401</v>
      </c>
      <c r="K55">
        <v>785</v>
      </c>
      <c r="L55">
        <v>69</v>
      </c>
      <c r="M55">
        <v>90</v>
      </c>
      <c r="N55">
        <v>1781</v>
      </c>
      <c r="O55">
        <v>1923293</v>
      </c>
      <c r="P55">
        <v>98</v>
      </c>
      <c r="Q55" t="s">
        <v>22</v>
      </c>
      <c r="R55">
        <v>75</v>
      </c>
      <c r="S55" t="s">
        <v>28</v>
      </c>
    </row>
    <row r="56" spans="1:19">
      <c r="A56" t="s">
        <v>142</v>
      </c>
      <c r="B56" t="s">
        <v>143</v>
      </c>
      <c r="C56" t="s">
        <v>41</v>
      </c>
      <c r="D56">
        <v>4</v>
      </c>
      <c r="E56">
        <v>185</v>
      </c>
      <c r="F56">
        <v>2133521</v>
      </c>
      <c r="G56">
        <v>13.17</v>
      </c>
      <c r="H56">
        <v>1.1499999999999999</v>
      </c>
      <c r="I56">
        <v>177605</v>
      </c>
      <c r="J56">
        <v>923683</v>
      </c>
      <c r="K56">
        <v>1384</v>
      </c>
      <c r="L56">
        <v>63</v>
      </c>
      <c r="M56">
        <v>81</v>
      </c>
      <c r="N56">
        <v>6897</v>
      </c>
      <c r="O56">
        <v>1948903</v>
      </c>
      <c r="P56">
        <v>93</v>
      </c>
      <c r="Q56" t="s">
        <v>22</v>
      </c>
      <c r="R56">
        <v>57</v>
      </c>
      <c r="S56" t="s">
        <v>23</v>
      </c>
    </row>
    <row r="57" spans="1:19">
      <c r="A57" t="s">
        <v>144</v>
      </c>
      <c r="B57" t="s">
        <v>145</v>
      </c>
      <c r="C57" t="s">
        <v>110</v>
      </c>
      <c r="D57">
        <v>11</v>
      </c>
      <c r="E57">
        <v>230</v>
      </c>
      <c r="F57">
        <v>2262185</v>
      </c>
      <c r="G57">
        <v>19.440000000000001</v>
      </c>
      <c r="H57">
        <v>0.15</v>
      </c>
      <c r="I57">
        <v>850549</v>
      </c>
      <c r="J57">
        <v>427609</v>
      </c>
      <c r="K57">
        <v>338</v>
      </c>
      <c r="L57">
        <v>86</v>
      </c>
      <c r="M57">
        <v>62</v>
      </c>
      <c r="N57">
        <v>3374</v>
      </c>
      <c r="O57">
        <v>2039879</v>
      </c>
      <c r="P57">
        <v>68</v>
      </c>
      <c r="Q57" t="s">
        <v>27</v>
      </c>
      <c r="R57">
        <v>75</v>
      </c>
      <c r="S57" t="s">
        <v>28</v>
      </c>
    </row>
    <row r="58" spans="1:19">
      <c r="A58" t="s">
        <v>146</v>
      </c>
      <c r="B58" t="s">
        <v>147</v>
      </c>
      <c r="C58" t="s">
        <v>75</v>
      </c>
      <c r="D58">
        <v>9</v>
      </c>
      <c r="E58">
        <v>40</v>
      </c>
      <c r="F58">
        <v>984337</v>
      </c>
      <c r="G58">
        <v>5.8</v>
      </c>
      <c r="H58">
        <v>0.16</v>
      </c>
      <c r="I58">
        <v>547100</v>
      </c>
      <c r="J58">
        <v>938903</v>
      </c>
      <c r="K58">
        <v>1320</v>
      </c>
      <c r="L58">
        <v>72</v>
      </c>
      <c r="M58">
        <v>75</v>
      </c>
      <c r="N58">
        <v>2307</v>
      </c>
      <c r="O58">
        <v>767474</v>
      </c>
      <c r="P58">
        <v>64</v>
      </c>
      <c r="Q58" t="s">
        <v>22</v>
      </c>
      <c r="R58">
        <v>61</v>
      </c>
      <c r="S58" t="s">
        <v>28</v>
      </c>
    </row>
    <row r="59" spans="1:19">
      <c r="A59" t="s">
        <v>148</v>
      </c>
      <c r="B59" t="s">
        <v>149</v>
      </c>
      <c r="C59" t="s">
        <v>31</v>
      </c>
      <c r="D59">
        <v>11</v>
      </c>
      <c r="E59">
        <v>102</v>
      </c>
      <c r="F59">
        <v>1606234</v>
      </c>
      <c r="G59">
        <v>6.45</v>
      </c>
      <c r="H59">
        <v>0.48</v>
      </c>
      <c r="I59">
        <v>411276</v>
      </c>
      <c r="J59">
        <v>978965</v>
      </c>
      <c r="K59">
        <v>1661</v>
      </c>
      <c r="L59">
        <v>88</v>
      </c>
      <c r="M59">
        <v>79</v>
      </c>
      <c r="N59">
        <v>4195</v>
      </c>
      <c r="O59">
        <v>1360413</v>
      </c>
      <c r="P59">
        <v>66</v>
      </c>
      <c r="Q59" t="s">
        <v>22</v>
      </c>
      <c r="R59">
        <v>56</v>
      </c>
      <c r="S59" t="s">
        <v>23</v>
      </c>
    </row>
    <row r="60" spans="1:19">
      <c r="A60" t="s">
        <v>150</v>
      </c>
      <c r="B60" t="s">
        <v>151</v>
      </c>
      <c r="C60" t="s">
        <v>55</v>
      </c>
      <c r="D60">
        <v>8</v>
      </c>
      <c r="E60">
        <v>17</v>
      </c>
      <c r="F60">
        <v>2125363</v>
      </c>
      <c r="G60">
        <v>9.39</v>
      </c>
      <c r="H60">
        <v>0.47</v>
      </c>
      <c r="I60">
        <v>350795</v>
      </c>
      <c r="J60">
        <v>602182</v>
      </c>
      <c r="K60">
        <v>988</v>
      </c>
      <c r="L60">
        <v>69</v>
      </c>
      <c r="M60">
        <v>73</v>
      </c>
      <c r="N60">
        <v>6769</v>
      </c>
      <c r="O60">
        <v>1077864</v>
      </c>
      <c r="P60">
        <v>72</v>
      </c>
      <c r="Q60" t="s">
        <v>27</v>
      </c>
      <c r="R60">
        <v>61</v>
      </c>
      <c r="S60" t="s">
        <v>28</v>
      </c>
    </row>
    <row r="61" spans="1:19">
      <c r="A61" t="s">
        <v>152</v>
      </c>
      <c r="B61" t="s">
        <v>153</v>
      </c>
      <c r="C61" t="s">
        <v>31</v>
      </c>
      <c r="D61">
        <v>2</v>
      </c>
      <c r="E61">
        <v>29</v>
      </c>
      <c r="F61">
        <v>762671</v>
      </c>
      <c r="G61">
        <v>17.84</v>
      </c>
      <c r="H61">
        <v>0.23</v>
      </c>
      <c r="I61">
        <v>484900</v>
      </c>
      <c r="J61">
        <v>976423</v>
      </c>
      <c r="K61">
        <v>1004</v>
      </c>
      <c r="L61">
        <v>93</v>
      </c>
      <c r="M61">
        <v>77</v>
      </c>
      <c r="N61">
        <v>1911</v>
      </c>
      <c r="O61">
        <v>671586</v>
      </c>
      <c r="P61">
        <v>90</v>
      </c>
      <c r="Q61" t="s">
        <v>22</v>
      </c>
      <c r="R61">
        <v>78</v>
      </c>
      <c r="S61" t="s">
        <v>28</v>
      </c>
    </row>
    <row r="62" spans="1:19">
      <c r="A62" t="s">
        <v>154</v>
      </c>
      <c r="B62" t="s">
        <v>155</v>
      </c>
      <c r="C62" t="s">
        <v>64</v>
      </c>
      <c r="D62">
        <v>15</v>
      </c>
      <c r="E62">
        <v>34</v>
      </c>
      <c r="F62">
        <v>2404847</v>
      </c>
      <c r="G62">
        <v>7.35</v>
      </c>
      <c r="H62">
        <v>0.64</v>
      </c>
      <c r="I62">
        <v>854803</v>
      </c>
      <c r="J62">
        <v>790622</v>
      </c>
      <c r="K62">
        <v>111</v>
      </c>
      <c r="L62">
        <v>64</v>
      </c>
      <c r="M62">
        <v>76</v>
      </c>
      <c r="N62">
        <v>5402</v>
      </c>
      <c r="O62">
        <v>1438334</v>
      </c>
      <c r="P62">
        <v>99</v>
      </c>
      <c r="Q62" t="s">
        <v>22</v>
      </c>
      <c r="R62">
        <v>64</v>
      </c>
      <c r="S62" t="s">
        <v>28</v>
      </c>
    </row>
    <row r="63" spans="1:19">
      <c r="A63" t="s">
        <v>156</v>
      </c>
      <c r="B63" t="s">
        <v>157</v>
      </c>
      <c r="C63" t="s">
        <v>26</v>
      </c>
      <c r="D63">
        <v>5</v>
      </c>
      <c r="E63">
        <v>238</v>
      </c>
      <c r="F63">
        <v>4358690</v>
      </c>
      <c r="G63">
        <v>13.2</v>
      </c>
      <c r="H63">
        <v>0.17</v>
      </c>
      <c r="I63">
        <v>190875</v>
      </c>
      <c r="J63">
        <v>488517</v>
      </c>
      <c r="K63">
        <v>1850</v>
      </c>
      <c r="L63">
        <v>69</v>
      </c>
      <c r="M63">
        <v>79</v>
      </c>
      <c r="N63">
        <v>5215</v>
      </c>
      <c r="O63">
        <v>3167632</v>
      </c>
      <c r="P63">
        <v>75</v>
      </c>
      <c r="Q63" t="s">
        <v>22</v>
      </c>
      <c r="R63">
        <v>71</v>
      </c>
      <c r="S63" t="s">
        <v>28</v>
      </c>
    </row>
    <row r="64" spans="1:19">
      <c r="A64" t="s">
        <v>158</v>
      </c>
      <c r="B64" t="s">
        <v>159</v>
      </c>
      <c r="C64" t="s">
        <v>64</v>
      </c>
      <c r="D64">
        <v>11</v>
      </c>
      <c r="E64">
        <v>204</v>
      </c>
      <c r="F64">
        <v>4849650</v>
      </c>
      <c r="G64">
        <v>23.08</v>
      </c>
      <c r="H64">
        <v>0.86</v>
      </c>
      <c r="I64">
        <v>760290</v>
      </c>
      <c r="J64">
        <v>890457</v>
      </c>
      <c r="K64">
        <v>1972</v>
      </c>
      <c r="L64">
        <v>67</v>
      </c>
      <c r="M64">
        <v>70</v>
      </c>
      <c r="N64">
        <v>5363</v>
      </c>
      <c r="O64">
        <v>3811074</v>
      </c>
      <c r="P64">
        <v>78</v>
      </c>
      <c r="Q64" t="s">
        <v>22</v>
      </c>
      <c r="R64">
        <v>67</v>
      </c>
      <c r="S64" t="s">
        <v>28</v>
      </c>
    </row>
    <row r="65" spans="1:19">
      <c r="A65" t="s">
        <v>160</v>
      </c>
      <c r="B65" t="s">
        <v>161</v>
      </c>
      <c r="C65" t="s">
        <v>41</v>
      </c>
      <c r="D65">
        <v>8</v>
      </c>
      <c r="E65">
        <v>54</v>
      </c>
      <c r="F65">
        <v>3526981</v>
      </c>
      <c r="G65">
        <v>7.88</v>
      </c>
      <c r="H65">
        <v>1.17</v>
      </c>
      <c r="I65">
        <v>379535</v>
      </c>
      <c r="J65">
        <v>889791</v>
      </c>
      <c r="K65">
        <v>1515</v>
      </c>
      <c r="L65">
        <v>59</v>
      </c>
      <c r="M65">
        <v>66</v>
      </c>
      <c r="N65">
        <v>1940</v>
      </c>
      <c r="O65">
        <v>2816142</v>
      </c>
      <c r="P65">
        <v>83</v>
      </c>
      <c r="Q65" t="s">
        <v>27</v>
      </c>
      <c r="R65">
        <v>49</v>
      </c>
      <c r="S65" t="s">
        <v>23</v>
      </c>
    </row>
    <row r="66" spans="1:19">
      <c r="A66" t="s">
        <v>162</v>
      </c>
      <c r="B66" t="s">
        <v>163</v>
      </c>
      <c r="C66" t="s">
        <v>38</v>
      </c>
      <c r="D66">
        <v>2</v>
      </c>
      <c r="E66">
        <v>19</v>
      </c>
      <c r="F66">
        <v>2040845</v>
      </c>
      <c r="G66">
        <v>6.82</v>
      </c>
      <c r="H66">
        <v>1.1399999999999999</v>
      </c>
      <c r="I66">
        <v>800275</v>
      </c>
      <c r="J66">
        <v>732792</v>
      </c>
      <c r="K66">
        <v>348</v>
      </c>
      <c r="L66">
        <v>74</v>
      </c>
      <c r="M66">
        <v>70</v>
      </c>
      <c r="N66">
        <v>5536</v>
      </c>
      <c r="O66">
        <v>1072063</v>
      </c>
      <c r="P66">
        <v>70</v>
      </c>
      <c r="Q66" t="s">
        <v>22</v>
      </c>
      <c r="R66">
        <v>44</v>
      </c>
      <c r="S66" t="s">
        <v>23</v>
      </c>
    </row>
    <row r="67" spans="1:19">
      <c r="A67" t="s">
        <v>164</v>
      </c>
      <c r="B67" t="s">
        <v>165</v>
      </c>
      <c r="C67" t="s">
        <v>31</v>
      </c>
      <c r="D67">
        <v>3</v>
      </c>
      <c r="E67">
        <v>39</v>
      </c>
      <c r="F67">
        <v>2172631</v>
      </c>
      <c r="G67">
        <v>24.57</v>
      </c>
      <c r="H67">
        <v>0.2</v>
      </c>
      <c r="I67">
        <v>935387</v>
      </c>
      <c r="J67">
        <v>189200</v>
      </c>
      <c r="K67">
        <v>1378</v>
      </c>
      <c r="L67">
        <v>86</v>
      </c>
      <c r="M67">
        <v>95</v>
      </c>
      <c r="N67">
        <v>960</v>
      </c>
      <c r="O67">
        <v>1956122</v>
      </c>
      <c r="P67">
        <v>88</v>
      </c>
      <c r="Q67" t="s">
        <v>27</v>
      </c>
      <c r="R67">
        <v>85</v>
      </c>
      <c r="S67" t="s">
        <v>137</v>
      </c>
    </row>
    <row r="68" spans="1:19">
      <c r="A68" t="s">
        <v>166</v>
      </c>
      <c r="B68" t="s">
        <v>167</v>
      </c>
      <c r="C68" t="s">
        <v>110</v>
      </c>
      <c r="D68">
        <v>7</v>
      </c>
      <c r="E68">
        <v>243</v>
      </c>
      <c r="F68">
        <v>4095907</v>
      </c>
      <c r="G68">
        <v>6.91</v>
      </c>
      <c r="H68">
        <v>0.56000000000000005</v>
      </c>
      <c r="I68">
        <v>427563</v>
      </c>
      <c r="J68">
        <v>326436</v>
      </c>
      <c r="K68">
        <v>1562</v>
      </c>
      <c r="L68">
        <v>60</v>
      </c>
      <c r="M68">
        <v>66</v>
      </c>
      <c r="N68">
        <v>3437</v>
      </c>
      <c r="O68">
        <v>2379681</v>
      </c>
      <c r="P68">
        <v>78</v>
      </c>
      <c r="Q68" t="s">
        <v>22</v>
      </c>
      <c r="R68">
        <v>58</v>
      </c>
      <c r="S68" t="s">
        <v>23</v>
      </c>
    </row>
    <row r="69" spans="1:19">
      <c r="A69" t="s">
        <v>168</v>
      </c>
      <c r="B69" t="s">
        <v>169</v>
      </c>
      <c r="C69" t="s">
        <v>26</v>
      </c>
      <c r="D69">
        <v>18</v>
      </c>
      <c r="E69">
        <v>101</v>
      </c>
      <c r="F69">
        <v>4721495</v>
      </c>
      <c r="G69">
        <v>21.62</v>
      </c>
      <c r="H69">
        <v>1.1200000000000001</v>
      </c>
      <c r="I69">
        <v>834606</v>
      </c>
      <c r="J69">
        <v>151739</v>
      </c>
      <c r="K69">
        <v>172</v>
      </c>
      <c r="L69">
        <v>68</v>
      </c>
      <c r="M69">
        <v>84</v>
      </c>
      <c r="N69">
        <v>2553</v>
      </c>
      <c r="O69">
        <v>3859103</v>
      </c>
      <c r="P69">
        <v>87</v>
      </c>
      <c r="Q69" t="s">
        <v>22</v>
      </c>
      <c r="R69">
        <v>63</v>
      </c>
      <c r="S69" t="s">
        <v>28</v>
      </c>
    </row>
    <row r="70" spans="1:19">
      <c r="A70" t="s">
        <v>170</v>
      </c>
      <c r="B70" t="s">
        <v>171</v>
      </c>
      <c r="C70" t="s">
        <v>41</v>
      </c>
      <c r="D70">
        <v>2</v>
      </c>
      <c r="E70">
        <v>140</v>
      </c>
      <c r="F70">
        <v>4630375</v>
      </c>
      <c r="G70">
        <v>16.28</v>
      </c>
      <c r="H70">
        <v>0.74</v>
      </c>
      <c r="I70">
        <v>381302</v>
      </c>
      <c r="J70">
        <v>141810</v>
      </c>
      <c r="K70">
        <v>958</v>
      </c>
      <c r="L70">
        <v>68</v>
      </c>
      <c r="M70">
        <v>74</v>
      </c>
      <c r="N70">
        <v>5678</v>
      </c>
      <c r="O70">
        <v>3136055</v>
      </c>
      <c r="P70">
        <v>75</v>
      </c>
      <c r="Q70" t="s">
        <v>27</v>
      </c>
      <c r="R70">
        <v>62</v>
      </c>
      <c r="S70" t="s">
        <v>28</v>
      </c>
    </row>
    <row r="71" spans="1:19">
      <c r="A71" t="s">
        <v>172</v>
      </c>
      <c r="B71" t="s">
        <v>173</v>
      </c>
      <c r="C71" t="s">
        <v>41</v>
      </c>
      <c r="D71">
        <v>14</v>
      </c>
      <c r="E71">
        <v>89</v>
      </c>
      <c r="F71">
        <v>2823353</v>
      </c>
      <c r="G71">
        <v>16.579999999999998</v>
      </c>
      <c r="H71">
        <v>0.68</v>
      </c>
      <c r="I71">
        <v>127724</v>
      </c>
      <c r="J71">
        <v>519598</v>
      </c>
      <c r="K71">
        <v>1510</v>
      </c>
      <c r="L71">
        <v>57</v>
      </c>
      <c r="M71">
        <v>86</v>
      </c>
      <c r="N71">
        <v>6397</v>
      </c>
      <c r="O71">
        <v>2411709</v>
      </c>
      <c r="P71">
        <v>93</v>
      </c>
      <c r="Q71" t="s">
        <v>22</v>
      </c>
      <c r="R71">
        <v>69</v>
      </c>
      <c r="S71" t="s">
        <v>28</v>
      </c>
    </row>
    <row r="72" spans="1:19">
      <c r="A72" t="s">
        <v>174</v>
      </c>
      <c r="B72" t="s">
        <v>175</v>
      </c>
      <c r="C72" t="s">
        <v>75</v>
      </c>
      <c r="D72">
        <v>3</v>
      </c>
      <c r="E72">
        <v>66</v>
      </c>
      <c r="F72">
        <v>3193164</v>
      </c>
      <c r="G72">
        <v>22.69</v>
      </c>
      <c r="H72">
        <v>0.61</v>
      </c>
      <c r="I72">
        <v>573325</v>
      </c>
      <c r="J72">
        <v>902589</v>
      </c>
      <c r="K72">
        <v>1306</v>
      </c>
      <c r="L72">
        <v>63</v>
      </c>
      <c r="M72">
        <v>72</v>
      </c>
      <c r="N72">
        <v>2904</v>
      </c>
      <c r="O72">
        <v>2743606</v>
      </c>
      <c r="P72">
        <v>95</v>
      </c>
      <c r="Q72" t="s">
        <v>22</v>
      </c>
      <c r="R72">
        <v>77</v>
      </c>
      <c r="S72" t="s">
        <v>28</v>
      </c>
    </row>
    <row r="73" spans="1:19">
      <c r="A73" t="s">
        <v>176</v>
      </c>
      <c r="B73" t="s">
        <v>177</v>
      </c>
      <c r="C73" t="s">
        <v>110</v>
      </c>
      <c r="D73">
        <v>9</v>
      </c>
      <c r="E73">
        <v>34</v>
      </c>
      <c r="F73">
        <v>1146971</v>
      </c>
      <c r="G73">
        <v>11.47</v>
      </c>
      <c r="H73">
        <v>0.43</v>
      </c>
      <c r="I73">
        <v>-95155</v>
      </c>
      <c r="J73">
        <v>777532</v>
      </c>
      <c r="K73">
        <v>1441</v>
      </c>
      <c r="L73">
        <v>65</v>
      </c>
      <c r="M73">
        <v>71</v>
      </c>
      <c r="N73">
        <v>4555</v>
      </c>
      <c r="O73">
        <v>827322</v>
      </c>
      <c r="P73">
        <v>64</v>
      </c>
      <c r="Q73" t="s">
        <v>22</v>
      </c>
      <c r="R73">
        <v>61</v>
      </c>
      <c r="S73" t="s">
        <v>28</v>
      </c>
    </row>
    <row r="74" spans="1:19">
      <c r="A74" t="s">
        <v>178</v>
      </c>
      <c r="B74" t="s">
        <v>179</v>
      </c>
      <c r="C74" t="s">
        <v>75</v>
      </c>
      <c r="D74">
        <v>4</v>
      </c>
      <c r="E74">
        <v>239</v>
      </c>
      <c r="F74">
        <v>3870293</v>
      </c>
      <c r="G74">
        <v>11.21</v>
      </c>
      <c r="H74">
        <v>1.18</v>
      </c>
      <c r="I74">
        <v>82440</v>
      </c>
      <c r="J74">
        <v>129492</v>
      </c>
      <c r="K74">
        <v>1485</v>
      </c>
      <c r="L74">
        <v>62</v>
      </c>
      <c r="M74">
        <v>79</v>
      </c>
      <c r="N74">
        <v>5263</v>
      </c>
      <c r="O74">
        <v>3270396</v>
      </c>
      <c r="P74">
        <v>83</v>
      </c>
      <c r="Q74" t="s">
        <v>22</v>
      </c>
      <c r="R74">
        <v>51</v>
      </c>
      <c r="S74" t="s">
        <v>23</v>
      </c>
    </row>
    <row r="75" spans="1:19">
      <c r="A75" t="s">
        <v>180</v>
      </c>
      <c r="B75" t="s">
        <v>181</v>
      </c>
      <c r="C75" t="s">
        <v>26</v>
      </c>
      <c r="D75">
        <v>9</v>
      </c>
      <c r="E75">
        <v>137</v>
      </c>
      <c r="F75">
        <v>1489306</v>
      </c>
      <c r="G75">
        <v>16.3</v>
      </c>
      <c r="H75">
        <v>1.03</v>
      </c>
      <c r="I75">
        <v>902416</v>
      </c>
      <c r="J75">
        <v>367321</v>
      </c>
      <c r="K75">
        <v>1718</v>
      </c>
      <c r="L75">
        <v>72</v>
      </c>
      <c r="M75">
        <v>95</v>
      </c>
      <c r="N75">
        <v>2727</v>
      </c>
      <c r="O75">
        <v>816836</v>
      </c>
      <c r="P75">
        <v>88</v>
      </c>
      <c r="Q75" t="s">
        <v>22</v>
      </c>
      <c r="R75">
        <v>60</v>
      </c>
      <c r="S75" t="s">
        <v>28</v>
      </c>
    </row>
    <row r="76" spans="1:19">
      <c r="A76" t="s">
        <v>182</v>
      </c>
      <c r="B76" t="s">
        <v>183</v>
      </c>
      <c r="C76" t="s">
        <v>64</v>
      </c>
      <c r="D76">
        <v>9</v>
      </c>
      <c r="E76">
        <v>59</v>
      </c>
      <c r="F76">
        <v>3097548</v>
      </c>
      <c r="G76">
        <v>11.41</v>
      </c>
      <c r="H76">
        <v>0.97</v>
      </c>
      <c r="I76">
        <v>207870</v>
      </c>
      <c r="J76">
        <v>797487</v>
      </c>
      <c r="K76">
        <v>1257</v>
      </c>
      <c r="L76">
        <v>89</v>
      </c>
      <c r="M76">
        <v>81</v>
      </c>
      <c r="N76">
        <v>7350</v>
      </c>
      <c r="O76">
        <v>2249667</v>
      </c>
      <c r="P76">
        <v>100</v>
      </c>
      <c r="Q76" t="s">
        <v>27</v>
      </c>
      <c r="R76">
        <v>61</v>
      </c>
      <c r="S76" t="s">
        <v>28</v>
      </c>
    </row>
    <row r="77" spans="1:19">
      <c r="A77" t="s">
        <v>184</v>
      </c>
      <c r="B77" t="s">
        <v>185</v>
      </c>
      <c r="C77" t="s">
        <v>21</v>
      </c>
      <c r="D77">
        <v>14</v>
      </c>
      <c r="E77">
        <v>201</v>
      </c>
      <c r="F77">
        <v>1234958</v>
      </c>
      <c r="G77">
        <v>10.4</v>
      </c>
      <c r="H77">
        <v>0.84</v>
      </c>
      <c r="I77">
        <v>902588</v>
      </c>
      <c r="J77">
        <v>830437</v>
      </c>
      <c r="K77">
        <v>1457</v>
      </c>
      <c r="L77">
        <v>65</v>
      </c>
      <c r="M77">
        <v>71</v>
      </c>
      <c r="N77">
        <v>5940</v>
      </c>
      <c r="O77">
        <v>1113958</v>
      </c>
      <c r="P77">
        <v>72</v>
      </c>
      <c r="Q77" t="s">
        <v>22</v>
      </c>
      <c r="R77">
        <v>54</v>
      </c>
      <c r="S77" t="s">
        <v>23</v>
      </c>
    </row>
    <row r="78" spans="1:19">
      <c r="A78" t="s">
        <v>186</v>
      </c>
      <c r="B78" t="s">
        <v>187</v>
      </c>
      <c r="C78" t="s">
        <v>55</v>
      </c>
      <c r="D78">
        <v>19</v>
      </c>
      <c r="E78">
        <v>87</v>
      </c>
      <c r="F78">
        <v>683204</v>
      </c>
      <c r="G78">
        <v>12.54</v>
      </c>
      <c r="H78">
        <v>0.27</v>
      </c>
      <c r="I78">
        <v>636825</v>
      </c>
      <c r="J78">
        <v>182638</v>
      </c>
      <c r="K78">
        <v>1336</v>
      </c>
      <c r="L78">
        <v>66</v>
      </c>
      <c r="M78">
        <v>69</v>
      </c>
      <c r="N78">
        <v>2222</v>
      </c>
      <c r="O78">
        <v>560842</v>
      </c>
      <c r="P78">
        <v>80</v>
      </c>
      <c r="Q78" t="s">
        <v>27</v>
      </c>
      <c r="R78">
        <v>70</v>
      </c>
      <c r="S78" t="s">
        <v>28</v>
      </c>
    </row>
    <row r="79" spans="1:19">
      <c r="A79" t="s">
        <v>188</v>
      </c>
      <c r="B79" t="s">
        <v>189</v>
      </c>
      <c r="C79" t="s">
        <v>110</v>
      </c>
      <c r="D79">
        <v>8</v>
      </c>
      <c r="E79">
        <v>126</v>
      </c>
      <c r="F79">
        <v>4707443</v>
      </c>
      <c r="G79">
        <v>20.25</v>
      </c>
      <c r="H79">
        <v>0.76</v>
      </c>
      <c r="I79">
        <v>372270</v>
      </c>
      <c r="J79">
        <v>943580</v>
      </c>
      <c r="K79">
        <v>1909</v>
      </c>
      <c r="L79">
        <v>48</v>
      </c>
      <c r="M79">
        <v>97</v>
      </c>
      <c r="N79">
        <v>5799</v>
      </c>
      <c r="O79">
        <v>3313455</v>
      </c>
      <c r="P79">
        <v>65</v>
      </c>
      <c r="Q79" t="s">
        <v>22</v>
      </c>
      <c r="R79">
        <v>63</v>
      </c>
      <c r="S79" t="s">
        <v>28</v>
      </c>
    </row>
    <row r="80" spans="1:19">
      <c r="A80" t="s">
        <v>190</v>
      </c>
      <c r="B80" t="s">
        <v>191</v>
      </c>
      <c r="C80" t="s">
        <v>26</v>
      </c>
      <c r="D80">
        <v>13</v>
      </c>
      <c r="E80">
        <v>147</v>
      </c>
      <c r="F80">
        <v>4260529</v>
      </c>
      <c r="G80">
        <v>3.35</v>
      </c>
      <c r="H80">
        <v>0.34</v>
      </c>
      <c r="I80">
        <v>184326</v>
      </c>
      <c r="J80">
        <v>893991</v>
      </c>
      <c r="K80">
        <v>1731</v>
      </c>
      <c r="L80">
        <v>91</v>
      </c>
      <c r="M80">
        <v>62</v>
      </c>
      <c r="N80">
        <v>2741</v>
      </c>
      <c r="O80">
        <v>2291559</v>
      </c>
      <c r="P80">
        <v>71</v>
      </c>
      <c r="Q80" t="s">
        <v>27</v>
      </c>
      <c r="R80">
        <v>58</v>
      </c>
      <c r="S80" t="s">
        <v>23</v>
      </c>
    </row>
    <row r="81" spans="1:19">
      <c r="A81" t="s">
        <v>192</v>
      </c>
      <c r="B81" t="s">
        <v>193</v>
      </c>
      <c r="C81" t="s">
        <v>41</v>
      </c>
      <c r="D81">
        <v>7</v>
      </c>
      <c r="E81">
        <v>147</v>
      </c>
      <c r="F81">
        <v>1723654</v>
      </c>
      <c r="G81">
        <v>11.5</v>
      </c>
      <c r="H81">
        <v>0.44</v>
      </c>
      <c r="I81">
        <v>67003</v>
      </c>
      <c r="J81">
        <v>128700</v>
      </c>
      <c r="K81">
        <v>795</v>
      </c>
      <c r="L81">
        <v>61</v>
      </c>
      <c r="M81">
        <v>81</v>
      </c>
      <c r="N81">
        <v>5656</v>
      </c>
      <c r="O81">
        <v>957109</v>
      </c>
      <c r="P81">
        <v>74</v>
      </c>
      <c r="Q81" t="s">
        <v>27</v>
      </c>
      <c r="R81">
        <v>64</v>
      </c>
      <c r="S81" t="s">
        <v>28</v>
      </c>
    </row>
    <row r="82" spans="1:19">
      <c r="A82" t="s">
        <v>194</v>
      </c>
      <c r="B82" t="s">
        <v>195</v>
      </c>
      <c r="C82" t="s">
        <v>26</v>
      </c>
      <c r="D82">
        <v>13</v>
      </c>
      <c r="E82">
        <v>114</v>
      </c>
      <c r="F82">
        <v>2551440</v>
      </c>
      <c r="G82">
        <v>4.28</v>
      </c>
      <c r="H82">
        <v>0.55000000000000004</v>
      </c>
      <c r="I82">
        <v>-41278</v>
      </c>
      <c r="J82">
        <v>476617</v>
      </c>
      <c r="K82">
        <v>522</v>
      </c>
      <c r="L82">
        <v>59</v>
      </c>
      <c r="M82">
        <v>71</v>
      </c>
      <c r="N82">
        <v>1763</v>
      </c>
      <c r="O82">
        <v>1846864</v>
      </c>
      <c r="P82">
        <v>89</v>
      </c>
      <c r="Q82" t="s">
        <v>22</v>
      </c>
      <c r="R82">
        <v>60</v>
      </c>
      <c r="S82" t="s">
        <v>28</v>
      </c>
    </row>
    <row r="83" spans="1:19">
      <c r="A83" t="s">
        <v>196</v>
      </c>
      <c r="B83" t="s">
        <v>197</v>
      </c>
      <c r="C83" t="s">
        <v>75</v>
      </c>
      <c r="D83">
        <v>7</v>
      </c>
      <c r="E83">
        <v>106</v>
      </c>
      <c r="F83">
        <v>1049842</v>
      </c>
      <c r="G83">
        <v>23.22</v>
      </c>
      <c r="H83">
        <v>0.32</v>
      </c>
      <c r="I83">
        <v>238301</v>
      </c>
      <c r="J83">
        <v>761592</v>
      </c>
      <c r="K83">
        <v>1367</v>
      </c>
      <c r="L83">
        <v>72</v>
      </c>
      <c r="M83">
        <v>87</v>
      </c>
      <c r="N83">
        <v>3132</v>
      </c>
      <c r="O83">
        <v>910337</v>
      </c>
      <c r="P83">
        <v>76</v>
      </c>
      <c r="Q83" t="s">
        <v>27</v>
      </c>
      <c r="R83">
        <v>77</v>
      </c>
      <c r="S83" t="s">
        <v>28</v>
      </c>
    </row>
    <row r="84" spans="1:19">
      <c r="A84" t="s">
        <v>198</v>
      </c>
      <c r="B84" t="s">
        <v>199</v>
      </c>
      <c r="C84" t="s">
        <v>41</v>
      </c>
      <c r="D84">
        <v>15</v>
      </c>
      <c r="E84">
        <v>228</v>
      </c>
      <c r="F84">
        <v>4421704</v>
      </c>
      <c r="G84">
        <v>24.53</v>
      </c>
      <c r="H84">
        <v>0.94</v>
      </c>
      <c r="I84">
        <v>29252</v>
      </c>
      <c r="J84">
        <v>480103</v>
      </c>
      <c r="K84">
        <v>737</v>
      </c>
      <c r="L84">
        <v>53</v>
      </c>
      <c r="M84">
        <v>91</v>
      </c>
      <c r="N84">
        <v>4884</v>
      </c>
      <c r="O84">
        <v>4115833</v>
      </c>
      <c r="P84">
        <v>64</v>
      </c>
      <c r="Q84" t="s">
        <v>22</v>
      </c>
      <c r="R84">
        <v>62</v>
      </c>
      <c r="S84" t="s">
        <v>28</v>
      </c>
    </row>
    <row r="85" spans="1:19">
      <c r="A85" t="s">
        <v>200</v>
      </c>
      <c r="B85" t="s">
        <v>201</v>
      </c>
      <c r="C85" t="s">
        <v>110</v>
      </c>
      <c r="D85">
        <v>3</v>
      </c>
      <c r="E85">
        <v>93</v>
      </c>
      <c r="F85">
        <v>982610</v>
      </c>
      <c r="G85">
        <v>21.83</v>
      </c>
      <c r="H85">
        <v>0.52</v>
      </c>
      <c r="I85">
        <v>-16518</v>
      </c>
      <c r="J85">
        <v>343265</v>
      </c>
      <c r="K85">
        <v>712</v>
      </c>
      <c r="L85">
        <v>65</v>
      </c>
      <c r="M85">
        <v>83</v>
      </c>
      <c r="N85">
        <v>6145</v>
      </c>
      <c r="O85">
        <v>604841</v>
      </c>
      <c r="P85">
        <v>98</v>
      </c>
      <c r="Q85" t="s">
        <v>22</v>
      </c>
      <c r="R85">
        <v>79</v>
      </c>
      <c r="S85" t="s">
        <v>28</v>
      </c>
    </row>
    <row r="86" spans="1:19">
      <c r="A86" t="s">
        <v>202</v>
      </c>
      <c r="B86" t="s">
        <v>203</v>
      </c>
      <c r="C86" t="s">
        <v>38</v>
      </c>
      <c r="D86">
        <v>2</v>
      </c>
      <c r="E86">
        <v>85</v>
      </c>
      <c r="F86">
        <v>3314114</v>
      </c>
      <c r="G86">
        <v>23.27</v>
      </c>
      <c r="H86">
        <v>1.1299999999999999</v>
      </c>
      <c r="I86">
        <v>239943</v>
      </c>
      <c r="J86">
        <v>918839</v>
      </c>
      <c r="K86">
        <v>338</v>
      </c>
      <c r="L86">
        <v>68</v>
      </c>
      <c r="M86">
        <v>63</v>
      </c>
      <c r="N86">
        <v>4080</v>
      </c>
      <c r="O86">
        <v>1902336</v>
      </c>
      <c r="P86">
        <v>78</v>
      </c>
      <c r="Q86" t="s">
        <v>27</v>
      </c>
      <c r="R86">
        <v>62</v>
      </c>
      <c r="S86" t="s">
        <v>28</v>
      </c>
    </row>
    <row r="87" spans="1:19">
      <c r="A87" t="s">
        <v>204</v>
      </c>
      <c r="B87" t="s">
        <v>205</v>
      </c>
      <c r="C87" t="s">
        <v>21</v>
      </c>
      <c r="D87">
        <v>14</v>
      </c>
      <c r="E87">
        <v>81</v>
      </c>
      <c r="F87">
        <v>4489935</v>
      </c>
      <c r="G87">
        <v>18.87</v>
      </c>
      <c r="H87">
        <v>1.17</v>
      </c>
      <c r="I87">
        <v>207903</v>
      </c>
      <c r="J87">
        <v>509632</v>
      </c>
      <c r="K87">
        <v>1832</v>
      </c>
      <c r="L87">
        <v>84</v>
      </c>
      <c r="M87">
        <v>85</v>
      </c>
      <c r="N87">
        <v>6345</v>
      </c>
      <c r="O87">
        <v>2683499</v>
      </c>
      <c r="P87">
        <v>63</v>
      </c>
      <c r="Q87" t="s">
        <v>22</v>
      </c>
      <c r="R87">
        <v>52</v>
      </c>
      <c r="S87" t="s">
        <v>23</v>
      </c>
    </row>
    <row r="88" spans="1:19">
      <c r="A88" t="s">
        <v>206</v>
      </c>
      <c r="B88" t="s">
        <v>207</v>
      </c>
      <c r="C88" t="s">
        <v>44</v>
      </c>
      <c r="D88">
        <v>20</v>
      </c>
      <c r="E88">
        <v>103</v>
      </c>
      <c r="F88">
        <v>2623157</v>
      </c>
      <c r="G88">
        <v>8.31</v>
      </c>
      <c r="H88">
        <v>0.22</v>
      </c>
      <c r="I88">
        <v>194571</v>
      </c>
      <c r="J88">
        <v>368709</v>
      </c>
      <c r="K88">
        <v>1631</v>
      </c>
      <c r="L88">
        <v>45</v>
      </c>
      <c r="M88">
        <v>89</v>
      </c>
      <c r="N88">
        <v>6282</v>
      </c>
      <c r="O88">
        <v>1502625</v>
      </c>
      <c r="P88">
        <v>90</v>
      </c>
      <c r="Q88" t="s">
        <v>27</v>
      </c>
      <c r="R88">
        <v>70</v>
      </c>
      <c r="S88" t="s">
        <v>28</v>
      </c>
    </row>
    <row r="89" spans="1:19">
      <c r="A89" t="s">
        <v>208</v>
      </c>
      <c r="B89" t="s">
        <v>209</v>
      </c>
      <c r="C89" t="s">
        <v>55</v>
      </c>
      <c r="D89">
        <v>19</v>
      </c>
      <c r="E89">
        <v>168</v>
      </c>
      <c r="F89">
        <v>4648815</v>
      </c>
      <c r="G89">
        <v>3.5</v>
      </c>
      <c r="H89">
        <v>0.56000000000000005</v>
      </c>
      <c r="I89">
        <v>400735</v>
      </c>
      <c r="J89">
        <v>929688</v>
      </c>
      <c r="K89">
        <v>1376</v>
      </c>
      <c r="L89">
        <v>60</v>
      </c>
      <c r="M89">
        <v>64</v>
      </c>
      <c r="N89">
        <v>4368</v>
      </c>
      <c r="O89">
        <v>3882358</v>
      </c>
      <c r="P89">
        <v>65</v>
      </c>
      <c r="Q89" t="s">
        <v>27</v>
      </c>
      <c r="R89">
        <v>51</v>
      </c>
      <c r="S89" t="s">
        <v>23</v>
      </c>
    </row>
    <row r="90" spans="1:19">
      <c r="A90" t="s">
        <v>210</v>
      </c>
      <c r="B90" t="s">
        <v>211</v>
      </c>
      <c r="C90" t="s">
        <v>41</v>
      </c>
      <c r="D90">
        <v>2</v>
      </c>
      <c r="E90">
        <v>55</v>
      </c>
      <c r="F90">
        <v>2885633</v>
      </c>
      <c r="G90">
        <v>23.15</v>
      </c>
      <c r="H90">
        <v>0.98</v>
      </c>
      <c r="I90">
        <v>670112</v>
      </c>
      <c r="J90">
        <v>300538</v>
      </c>
      <c r="K90">
        <v>1763</v>
      </c>
      <c r="L90">
        <v>75</v>
      </c>
      <c r="M90">
        <v>79</v>
      </c>
      <c r="N90">
        <v>1292</v>
      </c>
      <c r="O90">
        <v>1550553</v>
      </c>
      <c r="P90">
        <v>100</v>
      </c>
      <c r="Q90" t="s">
        <v>27</v>
      </c>
      <c r="R90">
        <v>71</v>
      </c>
      <c r="S90" t="s">
        <v>28</v>
      </c>
    </row>
    <row r="91" spans="1:19">
      <c r="A91" t="s">
        <v>212</v>
      </c>
      <c r="B91" t="s">
        <v>213</v>
      </c>
      <c r="C91" t="s">
        <v>75</v>
      </c>
      <c r="D91">
        <v>2</v>
      </c>
      <c r="E91">
        <v>81</v>
      </c>
      <c r="F91">
        <v>4883199</v>
      </c>
      <c r="G91">
        <v>7.03</v>
      </c>
      <c r="H91">
        <v>0.4</v>
      </c>
      <c r="I91">
        <v>93376</v>
      </c>
      <c r="J91">
        <v>392047</v>
      </c>
      <c r="K91">
        <v>1649</v>
      </c>
      <c r="L91">
        <v>65</v>
      </c>
      <c r="M91">
        <v>79</v>
      </c>
      <c r="N91">
        <v>1681</v>
      </c>
      <c r="O91">
        <v>3072287</v>
      </c>
      <c r="P91">
        <v>73</v>
      </c>
      <c r="Q91" t="s">
        <v>27</v>
      </c>
      <c r="R91">
        <v>60</v>
      </c>
      <c r="S91" t="s">
        <v>28</v>
      </c>
    </row>
    <row r="92" spans="1:19">
      <c r="A92" t="s">
        <v>214</v>
      </c>
      <c r="B92" t="s">
        <v>215</v>
      </c>
      <c r="C92" t="s">
        <v>41</v>
      </c>
      <c r="D92">
        <v>4</v>
      </c>
      <c r="E92">
        <v>76</v>
      </c>
      <c r="F92">
        <v>575058</v>
      </c>
      <c r="G92">
        <v>24.03</v>
      </c>
      <c r="H92">
        <v>0.43</v>
      </c>
      <c r="I92">
        <v>134617</v>
      </c>
      <c r="J92">
        <v>129417</v>
      </c>
      <c r="K92">
        <v>1162</v>
      </c>
      <c r="L92">
        <v>54</v>
      </c>
      <c r="M92">
        <v>69</v>
      </c>
      <c r="N92">
        <v>5891</v>
      </c>
      <c r="O92">
        <v>387879</v>
      </c>
      <c r="P92">
        <v>76</v>
      </c>
      <c r="Q92" t="s">
        <v>22</v>
      </c>
      <c r="R92">
        <v>76</v>
      </c>
      <c r="S92" t="s">
        <v>28</v>
      </c>
    </row>
    <row r="93" spans="1:19">
      <c r="A93" t="s">
        <v>216</v>
      </c>
      <c r="B93" t="s">
        <v>217</v>
      </c>
      <c r="C93" t="s">
        <v>26</v>
      </c>
      <c r="D93">
        <v>14</v>
      </c>
      <c r="E93">
        <v>70</v>
      </c>
      <c r="F93">
        <v>1107575</v>
      </c>
      <c r="G93">
        <v>3.16</v>
      </c>
      <c r="H93">
        <v>0.6</v>
      </c>
      <c r="I93">
        <v>841370</v>
      </c>
      <c r="J93">
        <v>707264</v>
      </c>
      <c r="K93">
        <v>513</v>
      </c>
      <c r="L93">
        <v>79</v>
      </c>
      <c r="M93">
        <v>95</v>
      </c>
      <c r="N93">
        <v>1651</v>
      </c>
      <c r="O93">
        <v>867733</v>
      </c>
      <c r="P93">
        <v>85</v>
      </c>
      <c r="Q93" t="s">
        <v>27</v>
      </c>
      <c r="R93">
        <v>56</v>
      </c>
      <c r="S93" t="s">
        <v>23</v>
      </c>
    </row>
    <row r="94" spans="1:19">
      <c r="A94" t="s">
        <v>218</v>
      </c>
      <c r="B94" t="s">
        <v>219</v>
      </c>
      <c r="C94" t="s">
        <v>55</v>
      </c>
      <c r="D94">
        <v>12</v>
      </c>
      <c r="E94">
        <v>231</v>
      </c>
      <c r="F94">
        <v>698431</v>
      </c>
      <c r="G94">
        <v>10.23</v>
      </c>
      <c r="H94">
        <v>1.05</v>
      </c>
      <c r="I94">
        <v>637542</v>
      </c>
      <c r="J94">
        <v>153678</v>
      </c>
      <c r="K94">
        <v>530</v>
      </c>
      <c r="L94">
        <v>84</v>
      </c>
      <c r="M94">
        <v>73</v>
      </c>
      <c r="N94">
        <v>7745</v>
      </c>
      <c r="O94">
        <v>586152</v>
      </c>
      <c r="P94">
        <v>62</v>
      </c>
      <c r="Q94" t="s">
        <v>27</v>
      </c>
      <c r="R94">
        <v>47</v>
      </c>
      <c r="S94" t="s">
        <v>23</v>
      </c>
    </row>
    <row r="95" spans="1:19">
      <c r="A95" t="s">
        <v>220</v>
      </c>
      <c r="B95" t="s">
        <v>221</v>
      </c>
      <c r="C95" t="s">
        <v>44</v>
      </c>
      <c r="D95">
        <v>7</v>
      </c>
      <c r="E95">
        <v>176</v>
      </c>
      <c r="F95">
        <v>2422210</v>
      </c>
      <c r="G95">
        <v>5.12</v>
      </c>
      <c r="H95">
        <v>0.3</v>
      </c>
      <c r="I95">
        <v>-44932</v>
      </c>
      <c r="J95">
        <v>762122</v>
      </c>
      <c r="K95">
        <v>1523</v>
      </c>
      <c r="L95">
        <v>83</v>
      </c>
      <c r="M95">
        <v>80</v>
      </c>
      <c r="N95">
        <v>6923</v>
      </c>
      <c r="O95">
        <v>1771662</v>
      </c>
      <c r="P95">
        <v>63</v>
      </c>
      <c r="Q95" t="s">
        <v>22</v>
      </c>
      <c r="R95">
        <v>58</v>
      </c>
      <c r="S95" t="s">
        <v>23</v>
      </c>
    </row>
    <row r="96" spans="1:19">
      <c r="A96" t="s">
        <v>222</v>
      </c>
      <c r="B96" t="s">
        <v>223</v>
      </c>
      <c r="C96" t="s">
        <v>55</v>
      </c>
      <c r="D96">
        <v>12</v>
      </c>
      <c r="E96">
        <v>40</v>
      </c>
      <c r="F96">
        <v>3432828</v>
      </c>
      <c r="G96">
        <v>9.24</v>
      </c>
      <c r="H96">
        <v>0.64</v>
      </c>
      <c r="I96">
        <v>155394</v>
      </c>
      <c r="J96">
        <v>893013</v>
      </c>
      <c r="K96">
        <v>659</v>
      </c>
      <c r="L96">
        <v>62</v>
      </c>
      <c r="M96">
        <v>83</v>
      </c>
      <c r="N96">
        <v>1455</v>
      </c>
      <c r="O96">
        <v>3070760</v>
      </c>
      <c r="P96">
        <v>71</v>
      </c>
      <c r="Q96" t="s">
        <v>22</v>
      </c>
      <c r="R96">
        <v>57</v>
      </c>
      <c r="S96" t="s">
        <v>23</v>
      </c>
    </row>
    <row r="97" spans="1:19">
      <c r="A97" t="s">
        <v>224</v>
      </c>
      <c r="B97" t="s">
        <v>225</v>
      </c>
      <c r="C97" t="s">
        <v>38</v>
      </c>
      <c r="D97">
        <v>14</v>
      </c>
      <c r="E97">
        <v>215</v>
      </c>
      <c r="F97">
        <v>1476204</v>
      </c>
      <c r="G97">
        <v>22.7</v>
      </c>
      <c r="H97">
        <v>0.39</v>
      </c>
      <c r="I97">
        <v>742381</v>
      </c>
      <c r="J97">
        <v>162364</v>
      </c>
      <c r="K97">
        <v>1101</v>
      </c>
      <c r="L97">
        <v>88</v>
      </c>
      <c r="M97">
        <v>85</v>
      </c>
      <c r="N97">
        <v>7755</v>
      </c>
      <c r="O97">
        <v>1012845</v>
      </c>
      <c r="P97">
        <v>68</v>
      </c>
      <c r="Q97" t="s">
        <v>22</v>
      </c>
      <c r="R97">
        <v>73</v>
      </c>
      <c r="S97" t="s">
        <v>28</v>
      </c>
    </row>
    <row r="98" spans="1:19">
      <c r="A98" t="s">
        <v>226</v>
      </c>
      <c r="B98" t="s">
        <v>227</v>
      </c>
      <c r="C98" t="s">
        <v>38</v>
      </c>
      <c r="D98">
        <v>2</v>
      </c>
      <c r="E98">
        <v>229</v>
      </c>
      <c r="F98">
        <v>2717245</v>
      </c>
      <c r="G98">
        <v>7.33</v>
      </c>
      <c r="H98">
        <v>0.52</v>
      </c>
      <c r="I98">
        <v>457515</v>
      </c>
      <c r="J98">
        <v>764922</v>
      </c>
      <c r="K98">
        <v>103</v>
      </c>
      <c r="L98">
        <v>63</v>
      </c>
      <c r="M98">
        <v>66</v>
      </c>
      <c r="N98">
        <v>5034</v>
      </c>
      <c r="O98">
        <v>2208805</v>
      </c>
      <c r="P98">
        <v>85</v>
      </c>
      <c r="Q98" t="s">
        <v>22</v>
      </c>
      <c r="R98">
        <v>62</v>
      </c>
      <c r="S98" t="s">
        <v>28</v>
      </c>
    </row>
    <row r="99" spans="1:19">
      <c r="A99" t="s">
        <v>228</v>
      </c>
      <c r="B99" t="s">
        <v>229</v>
      </c>
      <c r="C99" t="s">
        <v>21</v>
      </c>
      <c r="D99">
        <v>8</v>
      </c>
      <c r="E99">
        <v>167</v>
      </c>
      <c r="F99">
        <v>3285358</v>
      </c>
      <c r="G99">
        <v>7.22</v>
      </c>
      <c r="H99">
        <v>0.73</v>
      </c>
      <c r="I99">
        <v>365558</v>
      </c>
      <c r="J99">
        <v>851596</v>
      </c>
      <c r="K99">
        <v>1005</v>
      </c>
      <c r="L99">
        <v>86</v>
      </c>
      <c r="M99">
        <v>94</v>
      </c>
      <c r="N99">
        <v>4818</v>
      </c>
      <c r="O99">
        <v>1761239</v>
      </c>
      <c r="P99">
        <v>91</v>
      </c>
      <c r="Q99" t="s">
        <v>27</v>
      </c>
      <c r="R99">
        <v>59</v>
      </c>
      <c r="S99" t="s">
        <v>23</v>
      </c>
    </row>
    <row r="100" spans="1:19">
      <c r="A100" t="s">
        <v>230</v>
      </c>
      <c r="B100" t="s">
        <v>231</v>
      </c>
      <c r="C100" t="s">
        <v>55</v>
      </c>
      <c r="D100">
        <v>15</v>
      </c>
      <c r="E100">
        <v>165</v>
      </c>
      <c r="F100">
        <v>3519074</v>
      </c>
      <c r="G100">
        <v>9.8800000000000008</v>
      </c>
      <c r="H100">
        <v>0.98</v>
      </c>
      <c r="I100">
        <v>309036</v>
      </c>
      <c r="J100">
        <v>655309</v>
      </c>
      <c r="K100">
        <v>387</v>
      </c>
      <c r="L100">
        <v>76</v>
      </c>
      <c r="M100">
        <v>72</v>
      </c>
      <c r="N100">
        <v>5469</v>
      </c>
      <c r="O100">
        <v>1935534</v>
      </c>
      <c r="P100">
        <v>72</v>
      </c>
      <c r="Q100" t="s">
        <v>22</v>
      </c>
      <c r="R100">
        <v>51</v>
      </c>
      <c r="S100" t="s">
        <v>23</v>
      </c>
    </row>
    <row r="101" spans="1:19">
      <c r="A101" t="s">
        <v>232</v>
      </c>
      <c r="B101" t="s">
        <v>233</v>
      </c>
      <c r="C101" t="s">
        <v>38</v>
      </c>
      <c r="D101">
        <v>4</v>
      </c>
      <c r="E101">
        <v>28</v>
      </c>
      <c r="F101">
        <v>2601070</v>
      </c>
      <c r="G101">
        <v>15.71</v>
      </c>
      <c r="H101">
        <v>0.56000000000000005</v>
      </c>
      <c r="I101">
        <v>393649</v>
      </c>
      <c r="J101">
        <v>727573</v>
      </c>
      <c r="K101">
        <v>1935</v>
      </c>
      <c r="L101">
        <v>73</v>
      </c>
      <c r="M101">
        <v>62</v>
      </c>
      <c r="N101">
        <v>4429</v>
      </c>
      <c r="O101">
        <v>1908968</v>
      </c>
      <c r="P101">
        <v>66</v>
      </c>
      <c r="Q101" t="s">
        <v>22</v>
      </c>
      <c r="R101">
        <v>63</v>
      </c>
      <c r="S101" t="s">
        <v>28</v>
      </c>
    </row>
    <row r="102" spans="1:19">
      <c r="A102" t="s">
        <v>234</v>
      </c>
      <c r="B102" t="s">
        <v>235</v>
      </c>
      <c r="C102" t="s">
        <v>44</v>
      </c>
      <c r="D102">
        <v>12</v>
      </c>
      <c r="E102">
        <v>128</v>
      </c>
      <c r="F102">
        <v>2439129</v>
      </c>
      <c r="G102">
        <v>7.93</v>
      </c>
      <c r="H102">
        <v>0.62</v>
      </c>
      <c r="I102">
        <v>837272</v>
      </c>
      <c r="J102">
        <v>460945</v>
      </c>
      <c r="K102">
        <v>1859</v>
      </c>
      <c r="L102">
        <v>72</v>
      </c>
      <c r="M102">
        <v>67</v>
      </c>
      <c r="N102">
        <v>2033</v>
      </c>
      <c r="O102">
        <v>2269861</v>
      </c>
      <c r="P102">
        <v>97</v>
      </c>
      <c r="Q102" t="s">
        <v>27</v>
      </c>
      <c r="R102">
        <v>64</v>
      </c>
      <c r="S102" t="s">
        <v>28</v>
      </c>
    </row>
    <row r="103" spans="1:19">
      <c r="A103" t="s">
        <v>236</v>
      </c>
      <c r="B103" t="s">
        <v>237</v>
      </c>
      <c r="C103" t="s">
        <v>44</v>
      </c>
      <c r="D103">
        <v>13</v>
      </c>
      <c r="E103">
        <v>144</v>
      </c>
      <c r="F103">
        <v>1664183</v>
      </c>
      <c r="G103">
        <v>19.34</v>
      </c>
      <c r="H103">
        <v>0.61</v>
      </c>
      <c r="I103">
        <v>555694</v>
      </c>
      <c r="J103">
        <v>208371</v>
      </c>
      <c r="K103">
        <v>1183</v>
      </c>
      <c r="L103">
        <v>63</v>
      </c>
      <c r="M103">
        <v>90</v>
      </c>
      <c r="N103">
        <v>5929</v>
      </c>
      <c r="O103">
        <v>1243204</v>
      </c>
      <c r="P103">
        <v>97</v>
      </c>
      <c r="Q103" t="s">
        <v>27</v>
      </c>
      <c r="R103">
        <v>74</v>
      </c>
      <c r="S103" t="s">
        <v>28</v>
      </c>
    </row>
    <row r="104" spans="1:19">
      <c r="A104" t="s">
        <v>238</v>
      </c>
      <c r="B104" t="s">
        <v>239</v>
      </c>
      <c r="C104" t="s">
        <v>64</v>
      </c>
      <c r="D104">
        <v>4</v>
      </c>
      <c r="E104">
        <v>240</v>
      </c>
      <c r="F104">
        <v>3996757</v>
      </c>
      <c r="G104">
        <v>11.37</v>
      </c>
      <c r="H104">
        <v>0.34</v>
      </c>
      <c r="I104">
        <v>705343</v>
      </c>
      <c r="J104">
        <v>155886</v>
      </c>
      <c r="K104">
        <v>1998</v>
      </c>
      <c r="L104">
        <v>58</v>
      </c>
      <c r="M104">
        <v>63</v>
      </c>
      <c r="N104">
        <v>1053</v>
      </c>
      <c r="O104">
        <v>3320421</v>
      </c>
      <c r="P104">
        <v>90</v>
      </c>
      <c r="Q104" t="s">
        <v>27</v>
      </c>
      <c r="R104">
        <v>70</v>
      </c>
      <c r="S104" t="s">
        <v>28</v>
      </c>
    </row>
    <row r="105" spans="1:19">
      <c r="A105" t="s">
        <v>240</v>
      </c>
      <c r="B105" t="s">
        <v>241</v>
      </c>
      <c r="C105" t="s">
        <v>41</v>
      </c>
      <c r="D105">
        <v>16</v>
      </c>
      <c r="E105">
        <v>59</v>
      </c>
      <c r="F105">
        <v>3036194</v>
      </c>
      <c r="G105">
        <v>24.96</v>
      </c>
      <c r="H105">
        <v>0.33</v>
      </c>
      <c r="I105">
        <v>615340</v>
      </c>
      <c r="J105">
        <v>567356</v>
      </c>
      <c r="K105">
        <v>1376</v>
      </c>
      <c r="L105">
        <v>46</v>
      </c>
      <c r="M105">
        <v>65</v>
      </c>
      <c r="N105">
        <v>1234</v>
      </c>
      <c r="O105">
        <v>1646542</v>
      </c>
      <c r="P105">
        <v>90</v>
      </c>
      <c r="Q105" t="s">
        <v>27</v>
      </c>
      <c r="R105">
        <v>83</v>
      </c>
      <c r="S105" t="s">
        <v>137</v>
      </c>
    </row>
    <row r="106" spans="1:19">
      <c r="A106" t="s">
        <v>242</v>
      </c>
      <c r="B106" t="s">
        <v>243</v>
      </c>
      <c r="C106" t="s">
        <v>21</v>
      </c>
      <c r="D106">
        <v>14</v>
      </c>
      <c r="E106">
        <v>15</v>
      </c>
      <c r="F106">
        <v>2925359</v>
      </c>
      <c r="G106">
        <v>19.04</v>
      </c>
      <c r="H106">
        <v>0.97</v>
      </c>
      <c r="I106">
        <v>339510</v>
      </c>
      <c r="J106">
        <v>178724</v>
      </c>
      <c r="K106">
        <v>1501</v>
      </c>
      <c r="L106">
        <v>91</v>
      </c>
      <c r="M106">
        <v>73</v>
      </c>
      <c r="N106">
        <v>3061</v>
      </c>
      <c r="O106">
        <v>1801138</v>
      </c>
      <c r="P106">
        <v>93</v>
      </c>
      <c r="Q106" t="s">
        <v>27</v>
      </c>
      <c r="R106">
        <v>66</v>
      </c>
      <c r="S106" t="s">
        <v>28</v>
      </c>
    </row>
    <row r="107" spans="1:19">
      <c r="A107" t="s">
        <v>244</v>
      </c>
      <c r="B107" t="s">
        <v>245</v>
      </c>
      <c r="C107" t="s">
        <v>64</v>
      </c>
      <c r="D107">
        <v>5</v>
      </c>
      <c r="E107">
        <v>85</v>
      </c>
      <c r="F107">
        <v>1286847</v>
      </c>
      <c r="G107">
        <v>4.53</v>
      </c>
      <c r="H107">
        <v>0.24</v>
      </c>
      <c r="I107">
        <v>-37887</v>
      </c>
      <c r="J107">
        <v>426489</v>
      </c>
      <c r="K107">
        <v>1270</v>
      </c>
      <c r="L107">
        <v>82</v>
      </c>
      <c r="M107">
        <v>98</v>
      </c>
      <c r="N107">
        <v>3450</v>
      </c>
      <c r="O107">
        <v>830440</v>
      </c>
      <c r="P107">
        <v>62</v>
      </c>
      <c r="Q107" t="s">
        <v>22</v>
      </c>
      <c r="R107">
        <v>58</v>
      </c>
      <c r="S107" t="s">
        <v>23</v>
      </c>
    </row>
    <row r="108" spans="1:19">
      <c r="A108" t="s">
        <v>246</v>
      </c>
      <c r="B108" t="s">
        <v>247</v>
      </c>
      <c r="C108" t="s">
        <v>26</v>
      </c>
      <c r="D108">
        <v>11</v>
      </c>
      <c r="E108">
        <v>47</v>
      </c>
      <c r="F108">
        <v>4939539</v>
      </c>
      <c r="G108">
        <v>14.47</v>
      </c>
      <c r="H108">
        <v>0.87</v>
      </c>
      <c r="I108">
        <v>292526</v>
      </c>
      <c r="J108">
        <v>164743</v>
      </c>
      <c r="K108">
        <v>1354</v>
      </c>
      <c r="L108">
        <v>66</v>
      </c>
      <c r="M108">
        <v>91</v>
      </c>
      <c r="N108">
        <v>3759</v>
      </c>
      <c r="O108">
        <v>3949525</v>
      </c>
      <c r="P108">
        <v>81</v>
      </c>
      <c r="Q108" t="s">
        <v>22</v>
      </c>
      <c r="R108">
        <v>60</v>
      </c>
      <c r="S108" t="s">
        <v>28</v>
      </c>
    </row>
    <row r="109" spans="1:19">
      <c r="A109" t="s">
        <v>248</v>
      </c>
      <c r="B109" t="s">
        <v>249</v>
      </c>
      <c r="C109" t="s">
        <v>38</v>
      </c>
      <c r="D109">
        <v>6</v>
      </c>
      <c r="E109">
        <v>166</v>
      </c>
      <c r="F109">
        <v>1932270</v>
      </c>
      <c r="G109">
        <v>19.11</v>
      </c>
      <c r="H109">
        <v>0.5</v>
      </c>
      <c r="I109">
        <v>651758</v>
      </c>
      <c r="J109">
        <v>479650</v>
      </c>
      <c r="K109">
        <v>712</v>
      </c>
      <c r="L109">
        <v>85</v>
      </c>
      <c r="M109">
        <v>69</v>
      </c>
      <c r="N109">
        <v>3697</v>
      </c>
      <c r="O109">
        <v>1643993</v>
      </c>
      <c r="P109">
        <v>89</v>
      </c>
      <c r="Q109" t="s">
        <v>27</v>
      </c>
      <c r="R109">
        <v>74</v>
      </c>
      <c r="S109" t="s">
        <v>28</v>
      </c>
    </row>
    <row r="110" spans="1:19">
      <c r="A110" t="s">
        <v>250</v>
      </c>
      <c r="B110" t="s">
        <v>251</v>
      </c>
      <c r="C110" t="s">
        <v>75</v>
      </c>
      <c r="D110">
        <v>17</v>
      </c>
      <c r="E110">
        <v>30</v>
      </c>
      <c r="F110">
        <v>2171598</v>
      </c>
      <c r="G110">
        <v>20.45</v>
      </c>
      <c r="H110">
        <v>0.42</v>
      </c>
      <c r="I110">
        <v>831812</v>
      </c>
      <c r="J110">
        <v>553127</v>
      </c>
      <c r="K110">
        <v>331</v>
      </c>
      <c r="L110">
        <v>73</v>
      </c>
      <c r="M110">
        <v>66</v>
      </c>
      <c r="N110">
        <v>4031</v>
      </c>
      <c r="O110">
        <v>1385898</v>
      </c>
      <c r="P110">
        <v>96</v>
      </c>
      <c r="Q110" t="s">
        <v>27</v>
      </c>
      <c r="R110">
        <v>79</v>
      </c>
      <c r="S110" t="s">
        <v>28</v>
      </c>
    </row>
    <row r="111" spans="1:19">
      <c r="A111" t="s">
        <v>252</v>
      </c>
      <c r="B111" t="s">
        <v>253</v>
      </c>
      <c r="C111" t="s">
        <v>55</v>
      </c>
      <c r="D111">
        <v>14</v>
      </c>
      <c r="E111">
        <v>101</v>
      </c>
      <c r="F111">
        <v>1990068</v>
      </c>
      <c r="G111">
        <v>6.95</v>
      </c>
      <c r="H111">
        <v>1.1000000000000001</v>
      </c>
      <c r="I111">
        <v>255883</v>
      </c>
      <c r="J111">
        <v>148547</v>
      </c>
      <c r="K111">
        <v>1868</v>
      </c>
      <c r="L111">
        <v>61</v>
      </c>
      <c r="M111">
        <v>75</v>
      </c>
      <c r="N111">
        <v>1308</v>
      </c>
      <c r="O111">
        <v>1213718</v>
      </c>
      <c r="P111">
        <v>94</v>
      </c>
      <c r="Q111" t="s">
        <v>22</v>
      </c>
      <c r="R111">
        <v>52</v>
      </c>
      <c r="S111" t="s">
        <v>23</v>
      </c>
    </row>
    <row r="112" spans="1:19">
      <c r="A112" t="s">
        <v>254</v>
      </c>
      <c r="B112" t="s">
        <v>255</v>
      </c>
      <c r="C112" t="s">
        <v>110</v>
      </c>
      <c r="D112">
        <v>2</v>
      </c>
      <c r="E112">
        <v>191</v>
      </c>
      <c r="F112">
        <v>678582</v>
      </c>
      <c r="G112">
        <v>17.75</v>
      </c>
      <c r="H112">
        <v>0.47</v>
      </c>
      <c r="I112">
        <v>561377</v>
      </c>
      <c r="J112">
        <v>208174</v>
      </c>
      <c r="K112">
        <v>1113</v>
      </c>
      <c r="L112">
        <v>87</v>
      </c>
      <c r="M112">
        <v>93</v>
      </c>
      <c r="N112">
        <v>5706</v>
      </c>
      <c r="O112">
        <v>406984</v>
      </c>
      <c r="P112">
        <v>79</v>
      </c>
      <c r="Q112" t="s">
        <v>22</v>
      </c>
      <c r="R112">
        <v>70</v>
      </c>
      <c r="S112" t="s">
        <v>28</v>
      </c>
    </row>
    <row r="113" spans="1:19">
      <c r="A113" t="s">
        <v>256</v>
      </c>
      <c r="B113" t="s">
        <v>257</v>
      </c>
      <c r="C113" t="s">
        <v>26</v>
      </c>
      <c r="D113">
        <v>3</v>
      </c>
      <c r="E113">
        <v>37</v>
      </c>
      <c r="F113">
        <v>1876608</v>
      </c>
      <c r="G113">
        <v>13.21</v>
      </c>
      <c r="H113">
        <v>0.3</v>
      </c>
      <c r="I113">
        <v>722996</v>
      </c>
      <c r="J113">
        <v>558750</v>
      </c>
      <c r="K113">
        <v>1553</v>
      </c>
      <c r="L113">
        <v>69</v>
      </c>
      <c r="M113">
        <v>78</v>
      </c>
      <c r="N113">
        <v>7306</v>
      </c>
      <c r="O113">
        <v>1735425</v>
      </c>
      <c r="P113">
        <v>79</v>
      </c>
      <c r="Q113" t="s">
        <v>22</v>
      </c>
      <c r="R113">
        <v>70</v>
      </c>
      <c r="S113" t="s">
        <v>28</v>
      </c>
    </row>
    <row r="114" spans="1:19">
      <c r="A114" t="s">
        <v>258</v>
      </c>
      <c r="B114" t="s">
        <v>259</v>
      </c>
      <c r="C114" t="s">
        <v>31</v>
      </c>
      <c r="D114">
        <v>11</v>
      </c>
      <c r="E114">
        <v>29</v>
      </c>
      <c r="F114">
        <v>833431</v>
      </c>
      <c r="G114">
        <v>13.79</v>
      </c>
      <c r="H114">
        <v>0.9</v>
      </c>
      <c r="I114">
        <v>791734</v>
      </c>
      <c r="J114">
        <v>777187</v>
      </c>
      <c r="K114">
        <v>427</v>
      </c>
      <c r="L114">
        <v>64</v>
      </c>
      <c r="M114">
        <v>68</v>
      </c>
      <c r="N114">
        <v>926</v>
      </c>
      <c r="O114">
        <v>667890</v>
      </c>
      <c r="P114">
        <v>60</v>
      </c>
      <c r="Q114" t="s">
        <v>27</v>
      </c>
      <c r="R114">
        <v>52</v>
      </c>
      <c r="S114" t="s">
        <v>23</v>
      </c>
    </row>
    <row r="115" spans="1:19">
      <c r="A115" t="s">
        <v>260</v>
      </c>
      <c r="B115" t="s">
        <v>261</v>
      </c>
      <c r="C115" t="s">
        <v>41</v>
      </c>
      <c r="D115">
        <v>3</v>
      </c>
      <c r="E115">
        <v>190</v>
      </c>
      <c r="F115">
        <v>4676602</v>
      </c>
      <c r="G115">
        <v>4.4000000000000004</v>
      </c>
      <c r="H115">
        <v>0.61</v>
      </c>
      <c r="I115">
        <v>106176</v>
      </c>
      <c r="J115">
        <v>176931</v>
      </c>
      <c r="K115">
        <v>582</v>
      </c>
      <c r="L115">
        <v>78</v>
      </c>
      <c r="M115">
        <v>63</v>
      </c>
      <c r="N115">
        <v>5246</v>
      </c>
      <c r="O115">
        <v>4008444</v>
      </c>
      <c r="P115">
        <v>95</v>
      </c>
      <c r="Q115" t="s">
        <v>22</v>
      </c>
      <c r="R115">
        <v>60</v>
      </c>
      <c r="S115" t="s">
        <v>28</v>
      </c>
    </row>
    <row r="116" spans="1:19">
      <c r="A116" t="s">
        <v>262</v>
      </c>
      <c r="B116" t="s">
        <v>263</v>
      </c>
      <c r="C116" t="s">
        <v>75</v>
      </c>
      <c r="D116">
        <v>10</v>
      </c>
      <c r="E116">
        <v>97</v>
      </c>
      <c r="F116">
        <v>2350392</v>
      </c>
      <c r="G116">
        <v>16.010000000000002</v>
      </c>
      <c r="H116">
        <v>0.9</v>
      </c>
      <c r="I116">
        <v>234188</v>
      </c>
      <c r="J116">
        <v>894712</v>
      </c>
      <c r="K116">
        <v>1056</v>
      </c>
      <c r="L116">
        <v>45</v>
      </c>
      <c r="M116">
        <v>82</v>
      </c>
      <c r="N116">
        <v>2981</v>
      </c>
      <c r="O116">
        <v>1470108</v>
      </c>
      <c r="P116">
        <v>62</v>
      </c>
      <c r="Q116" t="s">
        <v>27</v>
      </c>
      <c r="R116">
        <v>55</v>
      </c>
      <c r="S116" t="s">
        <v>23</v>
      </c>
    </row>
    <row r="117" spans="1:19">
      <c r="A117" t="s">
        <v>264</v>
      </c>
      <c r="B117" t="s">
        <v>265</v>
      </c>
      <c r="C117" t="s">
        <v>75</v>
      </c>
      <c r="D117">
        <v>13</v>
      </c>
      <c r="E117">
        <v>124</v>
      </c>
      <c r="F117">
        <v>507064</v>
      </c>
      <c r="G117">
        <v>14.55</v>
      </c>
      <c r="H117">
        <v>1.1299999999999999</v>
      </c>
      <c r="I117">
        <v>850203</v>
      </c>
      <c r="J117">
        <v>390709</v>
      </c>
      <c r="K117">
        <v>186</v>
      </c>
      <c r="L117">
        <v>67</v>
      </c>
      <c r="M117">
        <v>82</v>
      </c>
      <c r="N117">
        <v>3128</v>
      </c>
      <c r="O117">
        <v>376337</v>
      </c>
      <c r="P117">
        <v>74</v>
      </c>
      <c r="Q117" t="s">
        <v>27</v>
      </c>
      <c r="R117">
        <v>53</v>
      </c>
      <c r="S117" t="s">
        <v>23</v>
      </c>
    </row>
    <row r="118" spans="1:19">
      <c r="A118" t="s">
        <v>266</v>
      </c>
      <c r="B118" t="s">
        <v>267</v>
      </c>
      <c r="C118" t="s">
        <v>75</v>
      </c>
      <c r="D118">
        <v>12</v>
      </c>
      <c r="E118">
        <v>158</v>
      </c>
      <c r="F118">
        <v>3493510</v>
      </c>
      <c r="G118">
        <v>8.9700000000000006</v>
      </c>
      <c r="H118">
        <v>1.0900000000000001</v>
      </c>
      <c r="I118">
        <v>255083</v>
      </c>
      <c r="J118">
        <v>778889</v>
      </c>
      <c r="K118">
        <v>1904</v>
      </c>
      <c r="L118">
        <v>64</v>
      </c>
      <c r="M118">
        <v>85</v>
      </c>
      <c r="N118">
        <v>836</v>
      </c>
      <c r="O118">
        <v>1968003</v>
      </c>
      <c r="P118">
        <v>88</v>
      </c>
      <c r="Q118" t="s">
        <v>27</v>
      </c>
      <c r="R118">
        <v>53</v>
      </c>
      <c r="S118" t="s">
        <v>23</v>
      </c>
    </row>
    <row r="119" spans="1:19">
      <c r="A119" t="s">
        <v>268</v>
      </c>
      <c r="B119" t="s">
        <v>269</v>
      </c>
      <c r="C119" t="s">
        <v>44</v>
      </c>
      <c r="D119">
        <v>17</v>
      </c>
      <c r="E119">
        <v>184</v>
      </c>
      <c r="F119">
        <v>2461921</v>
      </c>
      <c r="G119">
        <v>3.29</v>
      </c>
      <c r="H119">
        <v>0.75</v>
      </c>
      <c r="I119">
        <v>862013</v>
      </c>
      <c r="J119">
        <v>465077</v>
      </c>
      <c r="K119">
        <v>1111</v>
      </c>
      <c r="L119">
        <v>75</v>
      </c>
      <c r="M119">
        <v>91</v>
      </c>
      <c r="N119">
        <v>6730</v>
      </c>
      <c r="O119">
        <v>1433675</v>
      </c>
      <c r="P119">
        <v>69</v>
      </c>
      <c r="Q119" t="s">
        <v>22</v>
      </c>
      <c r="R119">
        <v>49</v>
      </c>
      <c r="S119" t="s">
        <v>23</v>
      </c>
    </row>
    <row r="120" spans="1:19">
      <c r="A120" t="s">
        <v>270</v>
      </c>
      <c r="B120" t="s">
        <v>271</v>
      </c>
      <c r="C120" t="s">
        <v>55</v>
      </c>
      <c r="D120">
        <v>3</v>
      </c>
      <c r="E120">
        <v>110</v>
      </c>
      <c r="F120">
        <v>3239566</v>
      </c>
      <c r="G120">
        <v>17.809999999999999</v>
      </c>
      <c r="H120">
        <v>0.12</v>
      </c>
      <c r="I120">
        <v>527914</v>
      </c>
      <c r="J120">
        <v>596773</v>
      </c>
      <c r="K120">
        <v>812</v>
      </c>
      <c r="L120">
        <v>93</v>
      </c>
      <c r="M120">
        <v>77</v>
      </c>
      <c r="N120">
        <v>3994</v>
      </c>
      <c r="O120">
        <v>2979568</v>
      </c>
      <c r="P120">
        <v>86</v>
      </c>
      <c r="Q120" t="s">
        <v>27</v>
      </c>
      <c r="R120">
        <v>79</v>
      </c>
      <c r="S120" t="s">
        <v>28</v>
      </c>
    </row>
    <row r="121" spans="1:19">
      <c r="A121" t="s">
        <v>272</v>
      </c>
      <c r="B121" t="s">
        <v>273</v>
      </c>
      <c r="C121" t="s">
        <v>55</v>
      </c>
      <c r="D121">
        <v>6</v>
      </c>
      <c r="E121">
        <v>48</v>
      </c>
      <c r="F121">
        <v>3269906</v>
      </c>
      <c r="G121">
        <v>2.35</v>
      </c>
      <c r="H121">
        <v>0.11</v>
      </c>
      <c r="I121">
        <v>545677</v>
      </c>
      <c r="J121">
        <v>809434</v>
      </c>
      <c r="K121">
        <v>115</v>
      </c>
      <c r="L121">
        <v>95</v>
      </c>
      <c r="M121">
        <v>98</v>
      </c>
      <c r="N121">
        <v>3855</v>
      </c>
      <c r="O121">
        <v>1740282</v>
      </c>
      <c r="P121">
        <v>76</v>
      </c>
      <c r="Q121" t="s">
        <v>22</v>
      </c>
      <c r="R121">
        <v>63</v>
      </c>
      <c r="S121" t="s">
        <v>28</v>
      </c>
    </row>
    <row r="122" spans="1:19">
      <c r="A122" t="s">
        <v>274</v>
      </c>
      <c r="B122" t="s">
        <v>275</v>
      </c>
      <c r="C122" t="s">
        <v>21</v>
      </c>
      <c r="D122">
        <v>10</v>
      </c>
      <c r="E122">
        <v>71</v>
      </c>
      <c r="F122">
        <v>943603</v>
      </c>
      <c r="G122">
        <v>8.8699999999999992</v>
      </c>
      <c r="H122">
        <v>0.31</v>
      </c>
      <c r="I122">
        <v>301030</v>
      </c>
      <c r="J122">
        <v>819071</v>
      </c>
      <c r="K122">
        <v>1101</v>
      </c>
      <c r="L122">
        <v>78</v>
      </c>
      <c r="M122">
        <v>79</v>
      </c>
      <c r="N122">
        <v>2839</v>
      </c>
      <c r="O122">
        <v>746240</v>
      </c>
      <c r="P122">
        <v>74</v>
      </c>
      <c r="Q122" t="s">
        <v>22</v>
      </c>
      <c r="R122">
        <v>64</v>
      </c>
      <c r="S122" t="s">
        <v>28</v>
      </c>
    </row>
    <row r="123" spans="1:19">
      <c r="A123" t="s">
        <v>276</v>
      </c>
      <c r="B123" t="s">
        <v>277</v>
      </c>
      <c r="C123" t="s">
        <v>21</v>
      </c>
      <c r="D123">
        <v>10</v>
      </c>
      <c r="E123">
        <v>176</v>
      </c>
      <c r="F123">
        <v>4392286</v>
      </c>
      <c r="G123">
        <v>11.91</v>
      </c>
      <c r="H123">
        <v>0.12</v>
      </c>
      <c r="I123">
        <v>700845</v>
      </c>
      <c r="J123">
        <v>174706</v>
      </c>
      <c r="K123">
        <v>879</v>
      </c>
      <c r="L123">
        <v>91</v>
      </c>
      <c r="M123">
        <v>80</v>
      </c>
      <c r="N123">
        <v>7870</v>
      </c>
      <c r="O123">
        <v>3962530</v>
      </c>
      <c r="P123">
        <v>65</v>
      </c>
      <c r="Q123" t="s">
        <v>22</v>
      </c>
      <c r="R123">
        <v>68</v>
      </c>
      <c r="S123" t="s">
        <v>28</v>
      </c>
    </row>
    <row r="124" spans="1:19">
      <c r="A124" t="s">
        <v>278</v>
      </c>
      <c r="B124" t="s">
        <v>279</v>
      </c>
      <c r="C124" t="s">
        <v>31</v>
      </c>
      <c r="D124">
        <v>7</v>
      </c>
      <c r="E124">
        <v>74</v>
      </c>
      <c r="F124">
        <v>4909652</v>
      </c>
      <c r="G124">
        <v>19.510000000000002</v>
      </c>
      <c r="H124">
        <v>0.57999999999999996</v>
      </c>
      <c r="I124">
        <v>211970</v>
      </c>
      <c r="J124">
        <v>816274</v>
      </c>
      <c r="K124">
        <v>859</v>
      </c>
      <c r="L124">
        <v>84</v>
      </c>
      <c r="M124">
        <v>98</v>
      </c>
      <c r="N124">
        <v>3411</v>
      </c>
      <c r="O124">
        <v>3717527</v>
      </c>
      <c r="P124">
        <v>92</v>
      </c>
      <c r="Q124" t="s">
        <v>22</v>
      </c>
      <c r="R124">
        <v>74</v>
      </c>
      <c r="S124" t="s">
        <v>28</v>
      </c>
    </row>
    <row r="125" spans="1:19">
      <c r="A125" t="s">
        <v>280</v>
      </c>
      <c r="B125" t="s">
        <v>281</v>
      </c>
      <c r="C125" t="s">
        <v>38</v>
      </c>
      <c r="D125">
        <v>19</v>
      </c>
      <c r="E125">
        <v>209</v>
      </c>
      <c r="F125">
        <v>4646223</v>
      </c>
      <c r="G125">
        <v>20.62</v>
      </c>
      <c r="H125">
        <v>0.11</v>
      </c>
      <c r="I125">
        <v>996916</v>
      </c>
      <c r="J125">
        <v>128758</v>
      </c>
      <c r="K125">
        <v>547</v>
      </c>
      <c r="L125">
        <v>57</v>
      </c>
      <c r="M125">
        <v>98</v>
      </c>
      <c r="N125">
        <v>7458</v>
      </c>
      <c r="O125">
        <v>4160606</v>
      </c>
      <c r="P125">
        <v>88</v>
      </c>
      <c r="Q125" t="s">
        <v>22</v>
      </c>
      <c r="R125">
        <v>83</v>
      </c>
      <c r="S125" t="s">
        <v>137</v>
      </c>
    </row>
    <row r="126" spans="1:19">
      <c r="A126" t="s">
        <v>282</v>
      </c>
      <c r="B126" t="s">
        <v>283</v>
      </c>
      <c r="C126" t="s">
        <v>41</v>
      </c>
      <c r="D126">
        <v>3</v>
      </c>
      <c r="E126">
        <v>236</v>
      </c>
      <c r="F126">
        <v>2823527</v>
      </c>
      <c r="G126">
        <v>14.17</v>
      </c>
      <c r="H126">
        <v>0.75</v>
      </c>
      <c r="I126">
        <v>873492</v>
      </c>
      <c r="J126">
        <v>604207</v>
      </c>
      <c r="K126">
        <v>126</v>
      </c>
      <c r="L126">
        <v>77</v>
      </c>
      <c r="M126">
        <v>91</v>
      </c>
      <c r="N126">
        <v>6717</v>
      </c>
      <c r="O126">
        <v>1460050</v>
      </c>
      <c r="P126">
        <v>72</v>
      </c>
      <c r="Q126" t="s">
        <v>22</v>
      </c>
      <c r="R126">
        <v>59</v>
      </c>
      <c r="S126" t="s">
        <v>23</v>
      </c>
    </row>
    <row r="127" spans="1:19">
      <c r="A127" t="s">
        <v>284</v>
      </c>
      <c r="B127" t="s">
        <v>285</v>
      </c>
      <c r="C127" t="s">
        <v>64</v>
      </c>
      <c r="D127">
        <v>15</v>
      </c>
      <c r="E127">
        <v>247</v>
      </c>
      <c r="F127">
        <v>3371027</v>
      </c>
      <c r="G127">
        <v>16.14</v>
      </c>
      <c r="H127">
        <v>0.74</v>
      </c>
      <c r="I127">
        <v>790367</v>
      </c>
      <c r="J127">
        <v>309514</v>
      </c>
      <c r="K127">
        <v>1650</v>
      </c>
      <c r="L127">
        <v>88</v>
      </c>
      <c r="M127">
        <v>66</v>
      </c>
      <c r="N127">
        <v>7352</v>
      </c>
      <c r="O127">
        <v>3039124</v>
      </c>
      <c r="P127">
        <v>83</v>
      </c>
      <c r="Q127" t="s">
        <v>22</v>
      </c>
      <c r="R127">
        <v>65</v>
      </c>
      <c r="S127" t="s">
        <v>28</v>
      </c>
    </row>
    <row r="128" spans="1:19">
      <c r="A128" t="s">
        <v>286</v>
      </c>
      <c r="B128" t="s">
        <v>287</v>
      </c>
      <c r="C128" t="s">
        <v>75</v>
      </c>
      <c r="D128">
        <v>7</v>
      </c>
      <c r="E128">
        <v>102</v>
      </c>
      <c r="F128">
        <v>1537484</v>
      </c>
      <c r="G128">
        <v>7.98</v>
      </c>
      <c r="H128">
        <v>0.23</v>
      </c>
      <c r="I128">
        <v>-12007</v>
      </c>
      <c r="J128">
        <v>340721</v>
      </c>
      <c r="K128">
        <v>276</v>
      </c>
      <c r="L128">
        <v>88</v>
      </c>
      <c r="M128">
        <v>71</v>
      </c>
      <c r="N128">
        <v>3510</v>
      </c>
      <c r="O128">
        <v>1364096</v>
      </c>
      <c r="P128">
        <v>66</v>
      </c>
      <c r="Q128" t="s">
        <v>22</v>
      </c>
      <c r="R128">
        <v>62</v>
      </c>
      <c r="S128" t="s">
        <v>28</v>
      </c>
    </row>
    <row r="129" spans="1:19">
      <c r="A129" t="s">
        <v>288</v>
      </c>
      <c r="B129" t="s">
        <v>289</v>
      </c>
      <c r="C129" t="s">
        <v>26</v>
      </c>
      <c r="D129">
        <v>18</v>
      </c>
      <c r="E129">
        <v>60</v>
      </c>
      <c r="F129">
        <v>1679347</v>
      </c>
      <c r="G129">
        <v>12.85</v>
      </c>
      <c r="H129">
        <v>0.49</v>
      </c>
      <c r="I129">
        <v>63289</v>
      </c>
      <c r="J129">
        <v>398210</v>
      </c>
      <c r="K129">
        <v>428</v>
      </c>
      <c r="L129">
        <v>68</v>
      </c>
      <c r="M129">
        <v>80</v>
      </c>
      <c r="N129">
        <v>3422</v>
      </c>
      <c r="O129">
        <v>1199388</v>
      </c>
      <c r="P129">
        <v>72</v>
      </c>
      <c r="Q129" t="s">
        <v>22</v>
      </c>
      <c r="R129">
        <v>63</v>
      </c>
      <c r="S129" t="s">
        <v>28</v>
      </c>
    </row>
    <row r="130" spans="1:19">
      <c r="A130" t="s">
        <v>290</v>
      </c>
      <c r="B130" t="s">
        <v>291</v>
      </c>
      <c r="C130" t="s">
        <v>41</v>
      </c>
      <c r="D130">
        <v>20</v>
      </c>
      <c r="E130">
        <v>41</v>
      </c>
      <c r="F130">
        <v>568320</v>
      </c>
      <c r="G130">
        <v>12.68</v>
      </c>
      <c r="H130">
        <v>0.67</v>
      </c>
      <c r="I130">
        <v>213333</v>
      </c>
      <c r="J130">
        <v>216430</v>
      </c>
      <c r="K130">
        <v>806</v>
      </c>
      <c r="L130">
        <v>50</v>
      </c>
      <c r="M130">
        <v>69</v>
      </c>
      <c r="N130">
        <v>2626</v>
      </c>
      <c r="O130">
        <v>354134</v>
      </c>
      <c r="P130">
        <v>74</v>
      </c>
      <c r="Q130" t="s">
        <v>27</v>
      </c>
      <c r="R130">
        <v>60</v>
      </c>
      <c r="S130" t="s">
        <v>28</v>
      </c>
    </row>
    <row r="131" spans="1:19">
      <c r="A131" t="s">
        <v>292</v>
      </c>
      <c r="B131" t="s">
        <v>293</v>
      </c>
      <c r="C131" t="s">
        <v>55</v>
      </c>
      <c r="D131">
        <v>12</v>
      </c>
      <c r="E131">
        <v>157</v>
      </c>
      <c r="F131">
        <v>4100338</v>
      </c>
      <c r="G131">
        <v>3.24</v>
      </c>
      <c r="H131">
        <v>0.3</v>
      </c>
      <c r="I131">
        <v>291826</v>
      </c>
      <c r="J131">
        <v>923128</v>
      </c>
      <c r="K131">
        <v>1045</v>
      </c>
      <c r="L131">
        <v>89</v>
      </c>
      <c r="M131">
        <v>74</v>
      </c>
      <c r="N131">
        <v>4961</v>
      </c>
      <c r="O131">
        <v>2178885</v>
      </c>
      <c r="P131">
        <v>69</v>
      </c>
      <c r="Q131" t="s">
        <v>22</v>
      </c>
      <c r="R131">
        <v>58</v>
      </c>
      <c r="S131" t="s">
        <v>23</v>
      </c>
    </row>
    <row r="132" spans="1:19">
      <c r="A132" t="s">
        <v>294</v>
      </c>
      <c r="B132" t="s">
        <v>295</v>
      </c>
      <c r="C132" t="s">
        <v>75</v>
      </c>
      <c r="D132">
        <v>9</v>
      </c>
      <c r="E132">
        <v>175</v>
      </c>
      <c r="F132">
        <v>1682303</v>
      </c>
      <c r="G132">
        <v>23.62</v>
      </c>
      <c r="H132">
        <v>1.1499999999999999</v>
      </c>
      <c r="I132">
        <v>109583</v>
      </c>
      <c r="J132">
        <v>875142</v>
      </c>
      <c r="K132">
        <v>173</v>
      </c>
      <c r="L132">
        <v>72</v>
      </c>
      <c r="M132">
        <v>73</v>
      </c>
      <c r="N132">
        <v>3573</v>
      </c>
      <c r="O132">
        <v>1309985</v>
      </c>
      <c r="P132">
        <v>94</v>
      </c>
      <c r="Q132" t="s">
        <v>22</v>
      </c>
      <c r="R132">
        <v>66</v>
      </c>
      <c r="S132" t="s">
        <v>28</v>
      </c>
    </row>
    <row r="133" spans="1:19">
      <c r="A133" t="s">
        <v>296</v>
      </c>
      <c r="B133" t="s">
        <v>297</v>
      </c>
      <c r="C133" t="s">
        <v>75</v>
      </c>
      <c r="D133">
        <v>12</v>
      </c>
      <c r="E133">
        <v>45</v>
      </c>
      <c r="F133">
        <v>4072440</v>
      </c>
      <c r="G133">
        <v>13.4</v>
      </c>
      <c r="H133">
        <v>0.51</v>
      </c>
      <c r="I133">
        <v>631043</v>
      </c>
      <c r="J133">
        <v>849000</v>
      </c>
      <c r="K133">
        <v>1055</v>
      </c>
      <c r="L133">
        <v>74</v>
      </c>
      <c r="M133">
        <v>81</v>
      </c>
      <c r="N133">
        <v>3455</v>
      </c>
      <c r="O133">
        <v>3522119</v>
      </c>
      <c r="P133">
        <v>96</v>
      </c>
      <c r="Q133" t="s">
        <v>22</v>
      </c>
      <c r="R133">
        <v>71</v>
      </c>
      <c r="S133" t="s">
        <v>28</v>
      </c>
    </row>
    <row r="134" spans="1:19">
      <c r="A134" t="s">
        <v>298</v>
      </c>
      <c r="B134" t="s">
        <v>299</v>
      </c>
      <c r="C134" t="s">
        <v>31</v>
      </c>
      <c r="D134">
        <v>20</v>
      </c>
      <c r="E134">
        <v>247</v>
      </c>
      <c r="F134">
        <v>2299181</v>
      </c>
      <c r="G134">
        <v>13.88</v>
      </c>
      <c r="H134">
        <v>0.24</v>
      </c>
      <c r="I134">
        <v>549504</v>
      </c>
      <c r="J134">
        <v>922925</v>
      </c>
      <c r="K134">
        <v>555</v>
      </c>
      <c r="L134">
        <v>76</v>
      </c>
      <c r="M134">
        <v>91</v>
      </c>
      <c r="N134">
        <v>1764</v>
      </c>
      <c r="O134">
        <v>2104208</v>
      </c>
      <c r="P134">
        <v>90</v>
      </c>
      <c r="Q134" t="s">
        <v>22</v>
      </c>
      <c r="R134">
        <v>75</v>
      </c>
      <c r="S134" t="s">
        <v>28</v>
      </c>
    </row>
    <row r="135" spans="1:19">
      <c r="A135" t="s">
        <v>300</v>
      </c>
      <c r="B135" t="s">
        <v>301</v>
      </c>
      <c r="C135" t="s">
        <v>31</v>
      </c>
      <c r="D135">
        <v>3</v>
      </c>
      <c r="E135">
        <v>145</v>
      </c>
      <c r="F135">
        <v>4422832</v>
      </c>
      <c r="G135">
        <v>6.15</v>
      </c>
      <c r="H135">
        <v>0.52</v>
      </c>
      <c r="I135">
        <v>384856</v>
      </c>
      <c r="J135">
        <v>730366</v>
      </c>
      <c r="K135">
        <v>1820</v>
      </c>
      <c r="L135">
        <v>75</v>
      </c>
      <c r="M135">
        <v>78</v>
      </c>
      <c r="N135">
        <v>5797</v>
      </c>
      <c r="O135">
        <v>3713589</v>
      </c>
      <c r="P135">
        <v>96</v>
      </c>
      <c r="Q135" t="s">
        <v>22</v>
      </c>
      <c r="R135">
        <v>64</v>
      </c>
      <c r="S135" t="s">
        <v>28</v>
      </c>
    </row>
    <row r="136" spans="1:19">
      <c r="A136" t="s">
        <v>302</v>
      </c>
      <c r="B136" t="s">
        <v>303</v>
      </c>
      <c r="C136" t="s">
        <v>26</v>
      </c>
      <c r="D136">
        <v>8</v>
      </c>
      <c r="E136">
        <v>16</v>
      </c>
      <c r="F136">
        <v>1603596</v>
      </c>
      <c r="G136">
        <v>12.66</v>
      </c>
      <c r="H136">
        <v>0.49</v>
      </c>
      <c r="I136">
        <v>205414</v>
      </c>
      <c r="J136">
        <v>464513</v>
      </c>
      <c r="K136">
        <v>995</v>
      </c>
      <c r="L136">
        <v>72</v>
      </c>
      <c r="M136">
        <v>89</v>
      </c>
      <c r="N136">
        <v>732</v>
      </c>
      <c r="O136">
        <v>1089090</v>
      </c>
      <c r="P136">
        <v>84</v>
      </c>
      <c r="Q136" t="s">
        <v>22</v>
      </c>
      <c r="R136">
        <v>67</v>
      </c>
      <c r="S136" t="s">
        <v>28</v>
      </c>
    </row>
    <row r="137" spans="1:19">
      <c r="A137" t="s">
        <v>304</v>
      </c>
      <c r="B137" t="s">
        <v>305</v>
      </c>
      <c r="C137" t="s">
        <v>55</v>
      </c>
      <c r="D137">
        <v>20</v>
      </c>
      <c r="E137">
        <v>186</v>
      </c>
      <c r="F137">
        <v>2406958</v>
      </c>
      <c r="G137">
        <v>6.19</v>
      </c>
      <c r="H137">
        <v>1.19</v>
      </c>
      <c r="I137">
        <v>86156</v>
      </c>
      <c r="J137">
        <v>367789</v>
      </c>
      <c r="K137">
        <v>862</v>
      </c>
      <c r="L137">
        <v>66</v>
      </c>
      <c r="M137">
        <v>95</v>
      </c>
      <c r="N137">
        <v>5457</v>
      </c>
      <c r="O137">
        <v>2142018</v>
      </c>
      <c r="P137">
        <v>84</v>
      </c>
      <c r="Q137" t="s">
        <v>22</v>
      </c>
      <c r="R137">
        <v>47</v>
      </c>
      <c r="S137" t="s">
        <v>23</v>
      </c>
    </row>
    <row r="138" spans="1:19">
      <c r="A138" t="s">
        <v>306</v>
      </c>
      <c r="B138" t="s">
        <v>307</v>
      </c>
      <c r="C138" t="s">
        <v>38</v>
      </c>
      <c r="D138">
        <v>15</v>
      </c>
      <c r="E138">
        <v>197</v>
      </c>
      <c r="F138">
        <v>2027851</v>
      </c>
      <c r="G138">
        <v>2.84</v>
      </c>
      <c r="H138">
        <v>0.11</v>
      </c>
      <c r="I138">
        <v>549729</v>
      </c>
      <c r="J138">
        <v>158230</v>
      </c>
      <c r="K138">
        <v>906</v>
      </c>
      <c r="L138">
        <v>61</v>
      </c>
      <c r="M138">
        <v>75</v>
      </c>
      <c r="N138">
        <v>6026</v>
      </c>
      <c r="O138">
        <v>1343510</v>
      </c>
      <c r="P138">
        <v>61</v>
      </c>
      <c r="Q138" t="s">
        <v>27</v>
      </c>
      <c r="R138">
        <v>59</v>
      </c>
      <c r="S138" t="s">
        <v>23</v>
      </c>
    </row>
    <row r="139" spans="1:19">
      <c r="A139" t="s">
        <v>308</v>
      </c>
      <c r="B139" t="s">
        <v>309</v>
      </c>
      <c r="C139" t="s">
        <v>64</v>
      </c>
      <c r="D139">
        <v>14</v>
      </c>
      <c r="E139">
        <v>46</v>
      </c>
      <c r="F139">
        <v>3694287</v>
      </c>
      <c r="G139">
        <v>8.77</v>
      </c>
      <c r="H139">
        <v>0.8</v>
      </c>
      <c r="I139">
        <v>166702</v>
      </c>
      <c r="J139">
        <v>700365</v>
      </c>
      <c r="K139">
        <v>1460</v>
      </c>
      <c r="L139">
        <v>64</v>
      </c>
      <c r="M139">
        <v>97</v>
      </c>
      <c r="N139">
        <v>7528</v>
      </c>
      <c r="O139">
        <v>3319085</v>
      </c>
      <c r="P139">
        <v>68</v>
      </c>
      <c r="Q139" t="s">
        <v>22</v>
      </c>
      <c r="R139">
        <v>52</v>
      </c>
      <c r="S139" t="s">
        <v>23</v>
      </c>
    </row>
    <row r="140" spans="1:19">
      <c r="A140" t="s">
        <v>310</v>
      </c>
      <c r="B140" t="s">
        <v>311</v>
      </c>
      <c r="C140" t="s">
        <v>44</v>
      </c>
      <c r="D140">
        <v>4</v>
      </c>
      <c r="E140">
        <v>145</v>
      </c>
      <c r="F140">
        <v>4896331</v>
      </c>
      <c r="G140">
        <v>4.67</v>
      </c>
      <c r="H140">
        <v>0.86</v>
      </c>
      <c r="I140">
        <v>587570</v>
      </c>
      <c r="J140">
        <v>153773</v>
      </c>
      <c r="K140">
        <v>1688</v>
      </c>
      <c r="L140">
        <v>73</v>
      </c>
      <c r="M140">
        <v>63</v>
      </c>
      <c r="N140">
        <v>3583</v>
      </c>
      <c r="O140">
        <v>3432749</v>
      </c>
      <c r="P140">
        <v>68</v>
      </c>
      <c r="Q140" t="s">
        <v>22</v>
      </c>
      <c r="R140">
        <v>47</v>
      </c>
      <c r="S140" t="s">
        <v>23</v>
      </c>
    </row>
    <row r="141" spans="1:19">
      <c r="A141" t="s">
        <v>312</v>
      </c>
      <c r="B141" t="s">
        <v>313</v>
      </c>
      <c r="C141" t="s">
        <v>64</v>
      </c>
      <c r="D141">
        <v>11</v>
      </c>
      <c r="E141">
        <v>250</v>
      </c>
      <c r="F141">
        <v>1696932</v>
      </c>
      <c r="G141">
        <v>6.08</v>
      </c>
      <c r="H141">
        <v>0.28999999999999998</v>
      </c>
      <c r="I141">
        <v>685719</v>
      </c>
      <c r="J141">
        <v>316741</v>
      </c>
      <c r="K141">
        <v>242</v>
      </c>
      <c r="L141">
        <v>55</v>
      </c>
      <c r="M141">
        <v>68</v>
      </c>
      <c r="N141">
        <v>4690</v>
      </c>
      <c r="O141">
        <v>933533</v>
      </c>
      <c r="P141">
        <v>67</v>
      </c>
      <c r="Q141" t="s">
        <v>22</v>
      </c>
      <c r="R141">
        <v>60</v>
      </c>
      <c r="S141" t="s">
        <v>28</v>
      </c>
    </row>
    <row r="142" spans="1:19">
      <c r="A142" t="s">
        <v>314</v>
      </c>
      <c r="B142" t="s">
        <v>315</v>
      </c>
      <c r="C142" t="s">
        <v>64</v>
      </c>
      <c r="D142">
        <v>11</v>
      </c>
      <c r="E142">
        <v>148</v>
      </c>
      <c r="F142">
        <v>3140884</v>
      </c>
      <c r="G142">
        <v>12.28</v>
      </c>
      <c r="H142">
        <v>0.38</v>
      </c>
      <c r="I142">
        <v>-93069</v>
      </c>
      <c r="J142">
        <v>626531</v>
      </c>
      <c r="K142">
        <v>1752</v>
      </c>
      <c r="L142">
        <v>95</v>
      </c>
      <c r="M142">
        <v>98</v>
      </c>
      <c r="N142">
        <v>2910</v>
      </c>
      <c r="O142">
        <v>2095298</v>
      </c>
      <c r="P142">
        <v>64</v>
      </c>
      <c r="Q142" t="s">
        <v>27</v>
      </c>
      <c r="R142">
        <v>63</v>
      </c>
      <c r="S142" t="s">
        <v>28</v>
      </c>
    </row>
    <row r="143" spans="1:19">
      <c r="A143" t="s">
        <v>316</v>
      </c>
      <c r="B143" t="s">
        <v>317</v>
      </c>
      <c r="C143" t="s">
        <v>38</v>
      </c>
      <c r="D143">
        <v>15</v>
      </c>
      <c r="E143">
        <v>172</v>
      </c>
      <c r="F143">
        <v>1796752</v>
      </c>
      <c r="G143">
        <v>12.67</v>
      </c>
      <c r="H143">
        <v>0.92</v>
      </c>
      <c r="I143">
        <v>930146</v>
      </c>
      <c r="J143">
        <v>270494</v>
      </c>
      <c r="K143">
        <v>741</v>
      </c>
      <c r="L143">
        <v>52</v>
      </c>
      <c r="M143">
        <v>66</v>
      </c>
      <c r="N143">
        <v>6777</v>
      </c>
      <c r="O143">
        <v>1529905</v>
      </c>
      <c r="P143">
        <v>100</v>
      </c>
      <c r="Q143" t="s">
        <v>27</v>
      </c>
      <c r="R143">
        <v>63</v>
      </c>
      <c r="S143" t="s">
        <v>28</v>
      </c>
    </row>
    <row r="144" spans="1:19">
      <c r="A144" t="s">
        <v>318</v>
      </c>
      <c r="B144" t="s">
        <v>319</v>
      </c>
      <c r="C144" t="s">
        <v>21</v>
      </c>
      <c r="D144">
        <v>17</v>
      </c>
      <c r="E144">
        <v>138</v>
      </c>
      <c r="F144">
        <v>1596235</v>
      </c>
      <c r="G144">
        <v>5.31</v>
      </c>
      <c r="H144">
        <v>1</v>
      </c>
      <c r="I144">
        <v>427641</v>
      </c>
      <c r="J144">
        <v>183331</v>
      </c>
      <c r="K144">
        <v>735</v>
      </c>
      <c r="L144">
        <v>90</v>
      </c>
      <c r="M144">
        <v>86</v>
      </c>
      <c r="N144">
        <v>7272</v>
      </c>
      <c r="O144">
        <v>1050585</v>
      </c>
      <c r="P144">
        <v>60</v>
      </c>
      <c r="Q144" t="s">
        <v>22</v>
      </c>
      <c r="R144">
        <v>43</v>
      </c>
      <c r="S144" t="s">
        <v>23</v>
      </c>
    </row>
    <row r="145" spans="1:19">
      <c r="A145" t="s">
        <v>320</v>
      </c>
      <c r="B145" t="s">
        <v>321</v>
      </c>
      <c r="C145" t="s">
        <v>41</v>
      </c>
      <c r="D145">
        <v>4</v>
      </c>
      <c r="E145">
        <v>180</v>
      </c>
      <c r="F145">
        <v>1201633</v>
      </c>
      <c r="G145">
        <v>24</v>
      </c>
      <c r="H145">
        <v>0.69</v>
      </c>
      <c r="I145">
        <v>950104</v>
      </c>
      <c r="J145">
        <v>902039</v>
      </c>
      <c r="K145">
        <v>967</v>
      </c>
      <c r="L145">
        <v>93</v>
      </c>
      <c r="M145">
        <v>78</v>
      </c>
      <c r="N145">
        <v>4835</v>
      </c>
      <c r="O145">
        <v>894364</v>
      </c>
      <c r="P145">
        <v>74</v>
      </c>
      <c r="Q145" t="s">
        <v>22</v>
      </c>
      <c r="R145">
        <v>70</v>
      </c>
      <c r="S145" t="s">
        <v>28</v>
      </c>
    </row>
    <row r="146" spans="1:19">
      <c r="A146" t="s">
        <v>322</v>
      </c>
      <c r="B146" t="s">
        <v>323</v>
      </c>
      <c r="C146" t="s">
        <v>38</v>
      </c>
      <c r="D146">
        <v>5</v>
      </c>
      <c r="E146">
        <v>168</v>
      </c>
      <c r="F146">
        <v>3999624</v>
      </c>
      <c r="G146">
        <v>3.63</v>
      </c>
      <c r="H146">
        <v>0.82</v>
      </c>
      <c r="I146">
        <v>962858</v>
      </c>
      <c r="J146">
        <v>794150</v>
      </c>
      <c r="K146">
        <v>808</v>
      </c>
      <c r="L146">
        <v>71</v>
      </c>
      <c r="M146">
        <v>88</v>
      </c>
      <c r="N146">
        <v>1304</v>
      </c>
      <c r="O146">
        <v>2391449</v>
      </c>
      <c r="P146">
        <v>63</v>
      </c>
      <c r="Q146" t="s">
        <v>22</v>
      </c>
      <c r="R146">
        <v>46</v>
      </c>
      <c r="S146" t="s">
        <v>23</v>
      </c>
    </row>
    <row r="147" spans="1:19">
      <c r="A147" t="s">
        <v>324</v>
      </c>
      <c r="B147" t="s">
        <v>325</v>
      </c>
      <c r="C147" t="s">
        <v>55</v>
      </c>
      <c r="D147">
        <v>20</v>
      </c>
      <c r="E147">
        <v>29</v>
      </c>
      <c r="F147">
        <v>830298</v>
      </c>
      <c r="G147">
        <v>2.67</v>
      </c>
      <c r="H147">
        <v>1.0900000000000001</v>
      </c>
      <c r="I147">
        <v>283412</v>
      </c>
      <c r="J147">
        <v>746437</v>
      </c>
      <c r="K147">
        <v>1663</v>
      </c>
      <c r="L147">
        <v>58</v>
      </c>
      <c r="M147">
        <v>86</v>
      </c>
      <c r="N147">
        <v>2532</v>
      </c>
      <c r="O147">
        <v>544839</v>
      </c>
      <c r="P147">
        <v>97</v>
      </c>
      <c r="Q147" t="s">
        <v>27</v>
      </c>
      <c r="R147">
        <v>50</v>
      </c>
      <c r="S147" t="s">
        <v>23</v>
      </c>
    </row>
    <row r="148" spans="1:19">
      <c r="A148" t="s">
        <v>326</v>
      </c>
      <c r="B148" t="s">
        <v>327</v>
      </c>
      <c r="C148" t="s">
        <v>44</v>
      </c>
      <c r="D148">
        <v>6</v>
      </c>
      <c r="E148">
        <v>129</v>
      </c>
      <c r="F148">
        <v>2081314</v>
      </c>
      <c r="G148">
        <v>18.63</v>
      </c>
      <c r="H148">
        <v>1.01</v>
      </c>
      <c r="I148">
        <v>442241</v>
      </c>
      <c r="J148">
        <v>903705</v>
      </c>
      <c r="K148">
        <v>106</v>
      </c>
      <c r="L148">
        <v>93</v>
      </c>
      <c r="M148">
        <v>92</v>
      </c>
      <c r="N148">
        <v>3532</v>
      </c>
      <c r="O148">
        <v>1065281</v>
      </c>
      <c r="P148">
        <v>99</v>
      </c>
      <c r="Q148" t="s">
        <v>22</v>
      </c>
      <c r="R148">
        <v>66</v>
      </c>
      <c r="S148" t="s">
        <v>28</v>
      </c>
    </row>
    <row r="149" spans="1:19">
      <c r="A149" t="s">
        <v>328</v>
      </c>
      <c r="B149" t="s">
        <v>329</v>
      </c>
      <c r="C149" t="s">
        <v>64</v>
      </c>
      <c r="D149">
        <v>15</v>
      </c>
      <c r="E149">
        <v>209</v>
      </c>
      <c r="F149">
        <v>3694678</v>
      </c>
      <c r="G149">
        <v>9.34</v>
      </c>
      <c r="H149">
        <v>0.22</v>
      </c>
      <c r="I149">
        <v>819069</v>
      </c>
      <c r="J149">
        <v>629135</v>
      </c>
      <c r="K149">
        <v>1791</v>
      </c>
      <c r="L149">
        <v>83</v>
      </c>
      <c r="M149">
        <v>95</v>
      </c>
      <c r="N149">
        <v>1361</v>
      </c>
      <c r="O149">
        <v>3090909</v>
      </c>
      <c r="P149">
        <v>90</v>
      </c>
      <c r="Q149" t="s">
        <v>27</v>
      </c>
      <c r="R149">
        <v>71</v>
      </c>
      <c r="S149" t="s">
        <v>28</v>
      </c>
    </row>
    <row r="150" spans="1:19">
      <c r="A150" t="s">
        <v>330</v>
      </c>
      <c r="B150" t="s">
        <v>331</v>
      </c>
      <c r="C150" t="s">
        <v>38</v>
      </c>
      <c r="D150">
        <v>13</v>
      </c>
      <c r="E150">
        <v>96</v>
      </c>
      <c r="F150">
        <v>2827188</v>
      </c>
      <c r="G150">
        <v>6.65</v>
      </c>
      <c r="H150">
        <v>0.15</v>
      </c>
      <c r="I150">
        <v>653626</v>
      </c>
      <c r="J150">
        <v>270742</v>
      </c>
      <c r="K150">
        <v>1979</v>
      </c>
      <c r="L150">
        <v>92</v>
      </c>
      <c r="M150">
        <v>87</v>
      </c>
      <c r="N150">
        <v>2063</v>
      </c>
      <c r="O150">
        <v>1699806</v>
      </c>
      <c r="P150">
        <v>69</v>
      </c>
      <c r="Q150" t="s">
        <v>27</v>
      </c>
      <c r="R150">
        <v>64</v>
      </c>
      <c r="S150" t="s">
        <v>28</v>
      </c>
    </row>
    <row r="151" spans="1:19">
      <c r="A151" t="s">
        <v>332</v>
      </c>
      <c r="B151" t="s">
        <v>333</v>
      </c>
      <c r="C151" t="s">
        <v>21</v>
      </c>
      <c r="D151">
        <v>6</v>
      </c>
      <c r="E151">
        <v>186</v>
      </c>
      <c r="F151">
        <v>2228414</v>
      </c>
      <c r="G151">
        <v>21.76</v>
      </c>
      <c r="H151">
        <v>0.98</v>
      </c>
      <c r="I151">
        <v>838779</v>
      </c>
      <c r="J151">
        <v>800113</v>
      </c>
      <c r="K151">
        <v>169</v>
      </c>
      <c r="L151">
        <v>47</v>
      </c>
      <c r="M151">
        <v>75</v>
      </c>
      <c r="N151">
        <v>875</v>
      </c>
      <c r="O151">
        <v>1434016</v>
      </c>
      <c r="P151">
        <v>88</v>
      </c>
      <c r="Q151" t="s">
        <v>22</v>
      </c>
      <c r="R151">
        <v>66</v>
      </c>
      <c r="S151" t="s">
        <v>28</v>
      </c>
    </row>
    <row r="152" spans="1:19">
      <c r="A152" t="s">
        <v>334</v>
      </c>
      <c r="B152" t="s">
        <v>335</v>
      </c>
      <c r="C152" t="s">
        <v>31</v>
      </c>
      <c r="D152">
        <v>12</v>
      </c>
      <c r="E152">
        <v>221</v>
      </c>
      <c r="F152">
        <v>1455426</v>
      </c>
      <c r="G152">
        <v>8.98</v>
      </c>
      <c r="H152">
        <v>0.23</v>
      </c>
      <c r="I152">
        <v>970015</v>
      </c>
      <c r="J152">
        <v>854330</v>
      </c>
      <c r="K152">
        <v>1157</v>
      </c>
      <c r="L152">
        <v>72</v>
      </c>
      <c r="M152">
        <v>78</v>
      </c>
      <c r="N152">
        <v>6690</v>
      </c>
      <c r="O152">
        <v>1144557</v>
      </c>
      <c r="P152">
        <v>64</v>
      </c>
      <c r="Q152" t="s">
        <v>27</v>
      </c>
      <c r="R152">
        <v>63</v>
      </c>
      <c r="S152" t="s">
        <v>28</v>
      </c>
    </row>
    <row r="153" spans="1:19">
      <c r="A153" t="s">
        <v>336</v>
      </c>
      <c r="B153" t="s">
        <v>337</v>
      </c>
      <c r="C153" t="s">
        <v>26</v>
      </c>
      <c r="D153">
        <v>11</v>
      </c>
      <c r="E153">
        <v>49</v>
      </c>
      <c r="F153">
        <v>2146478</v>
      </c>
      <c r="G153">
        <v>4.55</v>
      </c>
      <c r="H153">
        <v>1</v>
      </c>
      <c r="I153">
        <v>193780</v>
      </c>
      <c r="J153">
        <v>360798</v>
      </c>
      <c r="K153">
        <v>1492</v>
      </c>
      <c r="L153">
        <v>81</v>
      </c>
      <c r="M153">
        <v>74</v>
      </c>
      <c r="N153">
        <v>3943</v>
      </c>
      <c r="O153">
        <v>1742341</v>
      </c>
      <c r="P153">
        <v>67</v>
      </c>
      <c r="Q153" t="s">
        <v>22</v>
      </c>
      <c r="R153">
        <v>44</v>
      </c>
      <c r="S153" t="s">
        <v>23</v>
      </c>
    </row>
    <row r="154" spans="1:19">
      <c r="A154" t="s">
        <v>338</v>
      </c>
      <c r="B154" t="s">
        <v>339</v>
      </c>
      <c r="C154" t="s">
        <v>38</v>
      </c>
      <c r="D154">
        <v>10</v>
      </c>
      <c r="E154">
        <v>76</v>
      </c>
      <c r="F154">
        <v>3900705</v>
      </c>
      <c r="G154">
        <v>15.45</v>
      </c>
      <c r="H154">
        <v>0.32</v>
      </c>
      <c r="I154">
        <v>482117</v>
      </c>
      <c r="J154">
        <v>132011</v>
      </c>
      <c r="K154">
        <v>1341</v>
      </c>
      <c r="L154">
        <v>46</v>
      </c>
      <c r="M154">
        <v>83</v>
      </c>
      <c r="N154">
        <v>6727</v>
      </c>
      <c r="O154">
        <v>2386148</v>
      </c>
      <c r="P154">
        <v>87</v>
      </c>
      <c r="Q154" t="s">
        <v>27</v>
      </c>
      <c r="R154">
        <v>74</v>
      </c>
      <c r="S154" t="s">
        <v>28</v>
      </c>
    </row>
    <row r="155" spans="1:19">
      <c r="A155" t="s">
        <v>340</v>
      </c>
      <c r="B155" t="s">
        <v>341</v>
      </c>
      <c r="C155" t="s">
        <v>64</v>
      </c>
      <c r="D155">
        <v>6</v>
      </c>
      <c r="E155">
        <v>109</v>
      </c>
      <c r="F155">
        <v>3351539</v>
      </c>
      <c r="G155">
        <v>11.19</v>
      </c>
      <c r="H155">
        <v>0.98</v>
      </c>
      <c r="I155">
        <v>59384</v>
      </c>
      <c r="J155">
        <v>115316</v>
      </c>
      <c r="K155">
        <v>1816</v>
      </c>
      <c r="L155">
        <v>89</v>
      </c>
      <c r="M155">
        <v>70</v>
      </c>
      <c r="N155">
        <v>6581</v>
      </c>
      <c r="O155">
        <v>1696500</v>
      </c>
      <c r="P155">
        <v>90</v>
      </c>
      <c r="Q155" t="s">
        <v>27</v>
      </c>
      <c r="R155">
        <v>57</v>
      </c>
      <c r="S155" t="s">
        <v>23</v>
      </c>
    </row>
    <row r="156" spans="1:19">
      <c r="A156" t="s">
        <v>342</v>
      </c>
      <c r="B156" t="s">
        <v>343</v>
      </c>
      <c r="C156" t="s">
        <v>21</v>
      </c>
      <c r="D156">
        <v>4</v>
      </c>
      <c r="E156">
        <v>56</v>
      </c>
      <c r="F156">
        <v>4446472</v>
      </c>
      <c r="G156">
        <v>17.03</v>
      </c>
      <c r="H156">
        <v>0.94</v>
      </c>
      <c r="I156">
        <v>630375</v>
      </c>
      <c r="J156">
        <v>488266</v>
      </c>
      <c r="K156">
        <v>429</v>
      </c>
      <c r="L156">
        <v>91</v>
      </c>
      <c r="M156">
        <v>74</v>
      </c>
      <c r="N156">
        <v>5368</v>
      </c>
      <c r="O156">
        <v>4192370</v>
      </c>
      <c r="P156">
        <v>68</v>
      </c>
      <c r="Q156" t="s">
        <v>27</v>
      </c>
      <c r="R156">
        <v>57</v>
      </c>
      <c r="S156" t="s">
        <v>23</v>
      </c>
    </row>
    <row r="157" spans="1:19">
      <c r="A157" t="s">
        <v>344</v>
      </c>
      <c r="B157" t="s">
        <v>345</v>
      </c>
      <c r="C157" t="s">
        <v>38</v>
      </c>
      <c r="D157">
        <v>17</v>
      </c>
      <c r="E157">
        <v>159</v>
      </c>
      <c r="F157">
        <v>4641029</v>
      </c>
      <c r="G157">
        <v>23.68</v>
      </c>
      <c r="H157">
        <v>0.42</v>
      </c>
      <c r="I157">
        <v>710413</v>
      </c>
      <c r="J157">
        <v>551441</v>
      </c>
      <c r="K157">
        <v>1087</v>
      </c>
      <c r="L157">
        <v>60</v>
      </c>
      <c r="M157">
        <v>90</v>
      </c>
      <c r="N157">
        <v>4390</v>
      </c>
      <c r="O157">
        <v>4090450</v>
      </c>
      <c r="P157">
        <v>65</v>
      </c>
      <c r="Q157" t="s">
        <v>22</v>
      </c>
      <c r="R157">
        <v>72</v>
      </c>
      <c r="S157" t="s">
        <v>28</v>
      </c>
    </row>
    <row r="158" spans="1:19">
      <c r="A158" t="s">
        <v>346</v>
      </c>
      <c r="B158" t="s">
        <v>347</v>
      </c>
      <c r="C158" t="s">
        <v>110</v>
      </c>
      <c r="D158">
        <v>20</v>
      </c>
      <c r="E158">
        <v>69</v>
      </c>
      <c r="F158">
        <v>4754550</v>
      </c>
      <c r="G158">
        <v>23.72</v>
      </c>
      <c r="H158">
        <v>0.9</v>
      </c>
      <c r="I158">
        <v>24133</v>
      </c>
      <c r="J158">
        <v>748756</v>
      </c>
      <c r="K158">
        <v>1404</v>
      </c>
      <c r="L158">
        <v>45</v>
      </c>
      <c r="M158">
        <v>83</v>
      </c>
      <c r="N158">
        <v>7715</v>
      </c>
      <c r="O158">
        <v>2661140</v>
      </c>
      <c r="P158">
        <v>76</v>
      </c>
      <c r="Q158" t="s">
        <v>22</v>
      </c>
      <c r="R158">
        <v>66</v>
      </c>
      <c r="S158" t="s">
        <v>28</v>
      </c>
    </row>
    <row r="159" spans="1:19">
      <c r="A159" t="s">
        <v>348</v>
      </c>
      <c r="B159" t="s">
        <v>349</v>
      </c>
      <c r="C159" t="s">
        <v>110</v>
      </c>
      <c r="D159">
        <v>15</v>
      </c>
      <c r="E159">
        <v>65</v>
      </c>
      <c r="F159">
        <v>1045145</v>
      </c>
      <c r="G159">
        <v>7.21</v>
      </c>
      <c r="H159">
        <v>0.96</v>
      </c>
      <c r="I159">
        <v>585295</v>
      </c>
      <c r="J159">
        <v>152583</v>
      </c>
      <c r="K159">
        <v>236</v>
      </c>
      <c r="L159">
        <v>56</v>
      </c>
      <c r="M159">
        <v>85</v>
      </c>
      <c r="N159">
        <v>7982</v>
      </c>
      <c r="O159">
        <v>685017</v>
      </c>
      <c r="P159">
        <v>69</v>
      </c>
      <c r="Q159" t="s">
        <v>27</v>
      </c>
      <c r="R159">
        <v>48</v>
      </c>
      <c r="S159" t="s">
        <v>23</v>
      </c>
    </row>
    <row r="160" spans="1:19">
      <c r="A160" t="s">
        <v>350</v>
      </c>
      <c r="B160" t="s">
        <v>351</v>
      </c>
      <c r="C160" t="s">
        <v>38</v>
      </c>
      <c r="D160">
        <v>8</v>
      </c>
      <c r="E160">
        <v>72</v>
      </c>
      <c r="F160">
        <v>934345</v>
      </c>
      <c r="G160">
        <v>19.97</v>
      </c>
      <c r="H160">
        <v>0.77</v>
      </c>
      <c r="I160">
        <v>-1728</v>
      </c>
      <c r="J160">
        <v>398748</v>
      </c>
      <c r="K160">
        <v>609</v>
      </c>
      <c r="L160">
        <v>89</v>
      </c>
      <c r="M160">
        <v>86</v>
      </c>
      <c r="N160">
        <v>6281</v>
      </c>
      <c r="O160">
        <v>668275</v>
      </c>
      <c r="P160">
        <v>92</v>
      </c>
      <c r="Q160" t="s">
        <v>27</v>
      </c>
      <c r="R160">
        <v>70</v>
      </c>
      <c r="S160" t="s">
        <v>28</v>
      </c>
    </row>
    <row r="161" spans="1:19">
      <c r="A161" t="s">
        <v>352</v>
      </c>
      <c r="B161" t="s">
        <v>353</v>
      </c>
      <c r="C161" t="s">
        <v>110</v>
      </c>
      <c r="D161">
        <v>3</v>
      </c>
      <c r="E161">
        <v>207</v>
      </c>
      <c r="F161">
        <v>1948334</v>
      </c>
      <c r="G161">
        <v>21.56</v>
      </c>
      <c r="H161">
        <v>0.23</v>
      </c>
      <c r="I161">
        <v>776781</v>
      </c>
      <c r="J161">
        <v>826529</v>
      </c>
      <c r="K161">
        <v>599</v>
      </c>
      <c r="L161">
        <v>70</v>
      </c>
      <c r="M161">
        <v>68</v>
      </c>
      <c r="N161">
        <v>1618</v>
      </c>
      <c r="O161">
        <v>1270761</v>
      </c>
      <c r="P161">
        <v>63</v>
      </c>
      <c r="Q161" t="s">
        <v>27</v>
      </c>
      <c r="R161">
        <v>74</v>
      </c>
      <c r="S161" t="s">
        <v>28</v>
      </c>
    </row>
    <row r="162" spans="1:19">
      <c r="A162" t="s">
        <v>354</v>
      </c>
      <c r="B162" t="s">
        <v>355</v>
      </c>
      <c r="C162" t="s">
        <v>38</v>
      </c>
      <c r="D162">
        <v>20</v>
      </c>
      <c r="E162">
        <v>85</v>
      </c>
      <c r="F162">
        <v>1077890</v>
      </c>
      <c r="G162">
        <v>18.149999999999999</v>
      </c>
      <c r="H162">
        <v>0.49</v>
      </c>
      <c r="I162">
        <v>110213</v>
      </c>
      <c r="J162">
        <v>283456</v>
      </c>
      <c r="K162">
        <v>1318</v>
      </c>
      <c r="L162">
        <v>61</v>
      </c>
      <c r="M162">
        <v>64</v>
      </c>
      <c r="N162">
        <v>2456</v>
      </c>
      <c r="O162">
        <v>841793</v>
      </c>
      <c r="P162">
        <v>78</v>
      </c>
      <c r="Q162" t="s">
        <v>22</v>
      </c>
      <c r="R162">
        <v>70</v>
      </c>
      <c r="S162" t="s">
        <v>28</v>
      </c>
    </row>
    <row r="163" spans="1:19">
      <c r="A163" t="s">
        <v>356</v>
      </c>
      <c r="B163" t="s">
        <v>357</v>
      </c>
      <c r="C163" t="s">
        <v>21</v>
      </c>
      <c r="D163">
        <v>14</v>
      </c>
      <c r="E163">
        <v>56</v>
      </c>
      <c r="F163">
        <v>1059295</v>
      </c>
      <c r="G163">
        <v>15.95</v>
      </c>
      <c r="H163">
        <v>1.2</v>
      </c>
      <c r="I163">
        <v>811961</v>
      </c>
      <c r="J163">
        <v>890407</v>
      </c>
      <c r="K163">
        <v>195</v>
      </c>
      <c r="L163">
        <v>51</v>
      </c>
      <c r="M163">
        <v>95</v>
      </c>
      <c r="N163">
        <v>3736</v>
      </c>
      <c r="O163">
        <v>636159</v>
      </c>
      <c r="P163">
        <v>76</v>
      </c>
      <c r="Q163" t="s">
        <v>22</v>
      </c>
      <c r="R163">
        <v>53</v>
      </c>
      <c r="S163" t="s">
        <v>23</v>
      </c>
    </row>
    <row r="164" spans="1:19">
      <c r="A164" t="s">
        <v>358</v>
      </c>
      <c r="B164" t="s">
        <v>359</v>
      </c>
      <c r="C164" t="s">
        <v>26</v>
      </c>
      <c r="D164">
        <v>13</v>
      </c>
      <c r="E164">
        <v>37</v>
      </c>
      <c r="F164">
        <v>624894</v>
      </c>
      <c r="G164">
        <v>21.37</v>
      </c>
      <c r="H164">
        <v>0.77</v>
      </c>
      <c r="I164">
        <v>774993</v>
      </c>
      <c r="J164">
        <v>634739</v>
      </c>
      <c r="K164">
        <v>1164</v>
      </c>
      <c r="L164">
        <v>57</v>
      </c>
      <c r="M164">
        <v>62</v>
      </c>
      <c r="N164">
        <v>3036</v>
      </c>
      <c r="O164">
        <v>490553</v>
      </c>
      <c r="P164">
        <v>85</v>
      </c>
      <c r="Q164" t="s">
        <v>27</v>
      </c>
      <c r="R164">
        <v>69</v>
      </c>
      <c r="S164" t="s">
        <v>28</v>
      </c>
    </row>
    <row r="165" spans="1:19">
      <c r="A165" t="s">
        <v>360</v>
      </c>
      <c r="B165" t="s">
        <v>361</v>
      </c>
      <c r="C165" t="s">
        <v>31</v>
      </c>
      <c r="D165">
        <v>5</v>
      </c>
      <c r="E165">
        <v>19</v>
      </c>
      <c r="F165">
        <v>2740776</v>
      </c>
      <c r="G165">
        <v>18.03</v>
      </c>
      <c r="H165">
        <v>0.97</v>
      </c>
      <c r="I165">
        <v>884404</v>
      </c>
      <c r="J165">
        <v>472021</v>
      </c>
      <c r="K165">
        <v>1254</v>
      </c>
      <c r="L165">
        <v>51</v>
      </c>
      <c r="M165">
        <v>60</v>
      </c>
      <c r="N165">
        <v>4076</v>
      </c>
      <c r="O165">
        <v>2212562</v>
      </c>
      <c r="P165">
        <v>64</v>
      </c>
      <c r="Q165" t="s">
        <v>22</v>
      </c>
      <c r="R165">
        <v>56</v>
      </c>
      <c r="S165" t="s">
        <v>23</v>
      </c>
    </row>
    <row r="166" spans="1:19">
      <c r="A166" t="s">
        <v>362</v>
      </c>
      <c r="B166" t="s">
        <v>363</v>
      </c>
      <c r="C166" t="s">
        <v>38</v>
      </c>
      <c r="D166">
        <v>3</v>
      </c>
      <c r="E166">
        <v>54</v>
      </c>
      <c r="F166">
        <v>1250733</v>
      </c>
      <c r="G166">
        <v>22.84</v>
      </c>
      <c r="H166">
        <v>0.1</v>
      </c>
      <c r="I166">
        <v>266887</v>
      </c>
      <c r="J166">
        <v>259283</v>
      </c>
      <c r="K166">
        <v>1584</v>
      </c>
      <c r="L166">
        <v>68</v>
      </c>
      <c r="M166">
        <v>78</v>
      </c>
      <c r="N166">
        <v>6436</v>
      </c>
      <c r="O166">
        <v>763545</v>
      </c>
      <c r="P166">
        <v>69</v>
      </c>
      <c r="Q166" t="s">
        <v>27</v>
      </c>
      <c r="R166">
        <v>79</v>
      </c>
      <c r="S166" t="s">
        <v>28</v>
      </c>
    </row>
    <row r="167" spans="1:19">
      <c r="A167" t="s">
        <v>364</v>
      </c>
      <c r="B167" t="s">
        <v>365</v>
      </c>
      <c r="C167" t="s">
        <v>55</v>
      </c>
      <c r="D167">
        <v>4</v>
      </c>
      <c r="E167">
        <v>175</v>
      </c>
      <c r="F167">
        <v>2508632</v>
      </c>
      <c r="G167">
        <v>5.91</v>
      </c>
      <c r="H167">
        <v>0.64</v>
      </c>
      <c r="I167">
        <v>89494</v>
      </c>
      <c r="J167">
        <v>333152</v>
      </c>
      <c r="K167">
        <v>473</v>
      </c>
      <c r="L167">
        <v>55</v>
      </c>
      <c r="M167">
        <v>70</v>
      </c>
      <c r="N167">
        <v>1479</v>
      </c>
      <c r="O167">
        <v>2217046</v>
      </c>
      <c r="P167">
        <v>98</v>
      </c>
      <c r="Q167" t="s">
        <v>27</v>
      </c>
      <c r="R167">
        <v>62</v>
      </c>
      <c r="S167" t="s">
        <v>28</v>
      </c>
    </row>
    <row r="168" spans="1:19">
      <c r="A168" t="s">
        <v>366</v>
      </c>
      <c r="B168" t="s">
        <v>367</v>
      </c>
      <c r="C168" t="s">
        <v>21</v>
      </c>
      <c r="D168">
        <v>2</v>
      </c>
      <c r="E168">
        <v>72</v>
      </c>
      <c r="F168">
        <v>4875969</v>
      </c>
      <c r="G168">
        <v>22.45</v>
      </c>
      <c r="H168">
        <v>1.19</v>
      </c>
      <c r="I168">
        <v>924315</v>
      </c>
      <c r="J168">
        <v>263071</v>
      </c>
      <c r="K168">
        <v>1770</v>
      </c>
      <c r="L168">
        <v>86</v>
      </c>
      <c r="M168">
        <v>89</v>
      </c>
      <c r="N168">
        <v>2807</v>
      </c>
      <c r="O168">
        <v>4283086</v>
      </c>
      <c r="P168">
        <v>100</v>
      </c>
      <c r="Q168" t="s">
        <v>22</v>
      </c>
      <c r="R168">
        <v>66</v>
      </c>
      <c r="S168" t="s">
        <v>28</v>
      </c>
    </row>
    <row r="169" spans="1:19">
      <c r="A169" t="s">
        <v>368</v>
      </c>
      <c r="B169" t="s">
        <v>369</v>
      </c>
      <c r="C169" t="s">
        <v>110</v>
      </c>
      <c r="D169">
        <v>12</v>
      </c>
      <c r="E169">
        <v>42</v>
      </c>
      <c r="F169">
        <v>1631096</v>
      </c>
      <c r="G169">
        <v>8.3000000000000007</v>
      </c>
      <c r="H169">
        <v>0.71</v>
      </c>
      <c r="I169">
        <v>947524</v>
      </c>
      <c r="J169">
        <v>358137</v>
      </c>
      <c r="K169">
        <v>695</v>
      </c>
      <c r="L169">
        <v>82</v>
      </c>
      <c r="M169">
        <v>62</v>
      </c>
      <c r="N169">
        <v>6317</v>
      </c>
      <c r="O169">
        <v>963960</v>
      </c>
      <c r="P169">
        <v>64</v>
      </c>
      <c r="Q169" t="s">
        <v>22</v>
      </c>
      <c r="R169">
        <v>52</v>
      </c>
      <c r="S169" t="s">
        <v>23</v>
      </c>
    </row>
    <row r="170" spans="1:19">
      <c r="A170" t="s">
        <v>370</v>
      </c>
      <c r="B170" t="s">
        <v>371</v>
      </c>
      <c r="C170" t="s">
        <v>44</v>
      </c>
      <c r="D170">
        <v>2</v>
      </c>
      <c r="E170">
        <v>24</v>
      </c>
      <c r="F170">
        <v>3279343</v>
      </c>
      <c r="G170">
        <v>23.33</v>
      </c>
      <c r="H170">
        <v>0.92</v>
      </c>
      <c r="I170">
        <v>-77265</v>
      </c>
      <c r="J170">
        <v>458896</v>
      </c>
      <c r="K170">
        <v>1338</v>
      </c>
      <c r="L170">
        <v>91</v>
      </c>
      <c r="M170">
        <v>96</v>
      </c>
      <c r="N170">
        <v>4182</v>
      </c>
      <c r="O170">
        <v>2223536</v>
      </c>
      <c r="P170">
        <v>63</v>
      </c>
      <c r="Q170" t="s">
        <v>27</v>
      </c>
      <c r="R170">
        <v>61</v>
      </c>
      <c r="S170" t="s">
        <v>28</v>
      </c>
    </row>
    <row r="171" spans="1:19">
      <c r="A171" t="s">
        <v>372</v>
      </c>
      <c r="B171" t="s">
        <v>373</v>
      </c>
      <c r="C171" t="s">
        <v>64</v>
      </c>
      <c r="D171">
        <v>13</v>
      </c>
      <c r="E171">
        <v>124</v>
      </c>
      <c r="F171">
        <v>4455202</v>
      </c>
      <c r="G171">
        <v>9.51</v>
      </c>
      <c r="H171">
        <v>0.64</v>
      </c>
      <c r="I171">
        <v>248424</v>
      </c>
      <c r="J171">
        <v>233961</v>
      </c>
      <c r="K171">
        <v>296</v>
      </c>
      <c r="L171">
        <v>59</v>
      </c>
      <c r="M171">
        <v>72</v>
      </c>
      <c r="N171">
        <v>2772</v>
      </c>
      <c r="O171">
        <v>2710492</v>
      </c>
      <c r="P171">
        <v>97</v>
      </c>
      <c r="Q171" t="s">
        <v>27</v>
      </c>
      <c r="R171">
        <v>65</v>
      </c>
      <c r="S171" t="s">
        <v>28</v>
      </c>
    </row>
    <row r="172" spans="1:19">
      <c r="A172" t="s">
        <v>374</v>
      </c>
      <c r="B172" t="s">
        <v>375</v>
      </c>
      <c r="C172" t="s">
        <v>64</v>
      </c>
      <c r="D172">
        <v>5</v>
      </c>
      <c r="E172">
        <v>156</v>
      </c>
      <c r="F172">
        <v>3756873</v>
      </c>
      <c r="G172">
        <v>18.8</v>
      </c>
      <c r="H172">
        <v>0.59</v>
      </c>
      <c r="I172">
        <v>-27114</v>
      </c>
      <c r="J172">
        <v>986370</v>
      </c>
      <c r="K172">
        <v>830</v>
      </c>
      <c r="L172">
        <v>84</v>
      </c>
      <c r="M172">
        <v>61</v>
      </c>
      <c r="N172">
        <v>4976</v>
      </c>
      <c r="O172">
        <v>3507207</v>
      </c>
      <c r="P172">
        <v>63</v>
      </c>
      <c r="Q172" t="s">
        <v>22</v>
      </c>
      <c r="R172">
        <v>64</v>
      </c>
      <c r="S172" t="s">
        <v>28</v>
      </c>
    </row>
    <row r="173" spans="1:19">
      <c r="A173" t="s">
        <v>376</v>
      </c>
      <c r="B173" t="s">
        <v>377</v>
      </c>
      <c r="C173" t="s">
        <v>44</v>
      </c>
      <c r="D173">
        <v>14</v>
      </c>
      <c r="E173">
        <v>244</v>
      </c>
      <c r="F173">
        <v>2646039</v>
      </c>
      <c r="G173">
        <v>8.6300000000000008</v>
      </c>
      <c r="H173">
        <v>0.94</v>
      </c>
      <c r="I173">
        <v>264848</v>
      </c>
      <c r="J173">
        <v>174716</v>
      </c>
      <c r="K173">
        <v>1181</v>
      </c>
      <c r="L173">
        <v>93</v>
      </c>
      <c r="M173">
        <v>96</v>
      </c>
      <c r="N173">
        <v>6834</v>
      </c>
      <c r="O173">
        <v>1826095</v>
      </c>
      <c r="P173">
        <v>61</v>
      </c>
      <c r="Q173" t="s">
        <v>27</v>
      </c>
      <c r="R173">
        <v>47</v>
      </c>
      <c r="S173" t="s">
        <v>23</v>
      </c>
    </row>
    <row r="174" spans="1:19">
      <c r="A174" t="s">
        <v>378</v>
      </c>
      <c r="B174" t="s">
        <v>379</v>
      </c>
      <c r="C174" t="s">
        <v>26</v>
      </c>
      <c r="D174">
        <v>10</v>
      </c>
      <c r="E174">
        <v>69</v>
      </c>
      <c r="F174">
        <v>3102273</v>
      </c>
      <c r="G174">
        <v>21.11</v>
      </c>
      <c r="H174">
        <v>0.94</v>
      </c>
      <c r="I174">
        <v>848963</v>
      </c>
      <c r="J174">
        <v>781651</v>
      </c>
      <c r="K174">
        <v>1904</v>
      </c>
      <c r="L174">
        <v>69</v>
      </c>
      <c r="M174">
        <v>95</v>
      </c>
      <c r="N174">
        <v>1495</v>
      </c>
      <c r="O174">
        <v>2395574</v>
      </c>
      <c r="P174">
        <v>91</v>
      </c>
      <c r="Q174" t="s">
        <v>22</v>
      </c>
      <c r="R174">
        <v>67</v>
      </c>
      <c r="S174" t="s">
        <v>28</v>
      </c>
    </row>
    <row r="175" spans="1:19">
      <c r="A175" t="s">
        <v>380</v>
      </c>
      <c r="B175" t="s">
        <v>381</v>
      </c>
      <c r="C175" t="s">
        <v>31</v>
      </c>
      <c r="D175">
        <v>6</v>
      </c>
      <c r="E175">
        <v>93</v>
      </c>
      <c r="F175">
        <v>1842534</v>
      </c>
      <c r="G175">
        <v>9.42</v>
      </c>
      <c r="H175">
        <v>0.75</v>
      </c>
      <c r="I175">
        <v>771277</v>
      </c>
      <c r="J175">
        <v>395069</v>
      </c>
      <c r="K175">
        <v>498</v>
      </c>
      <c r="L175">
        <v>55</v>
      </c>
      <c r="M175">
        <v>61</v>
      </c>
      <c r="N175">
        <v>6704</v>
      </c>
      <c r="O175">
        <v>1313536</v>
      </c>
      <c r="P175">
        <v>84</v>
      </c>
      <c r="Q175" t="s">
        <v>27</v>
      </c>
      <c r="R175">
        <v>59</v>
      </c>
      <c r="S175" t="s">
        <v>23</v>
      </c>
    </row>
    <row r="176" spans="1:19">
      <c r="A176" t="s">
        <v>382</v>
      </c>
      <c r="B176" t="s">
        <v>205</v>
      </c>
      <c r="C176" t="s">
        <v>26</v>
      </c>
      <c r="D176">
        <v>3</v>
      </c>
      <c r="E176">
        <v>242</v>
      </c>
      <c r="F176">
        <v>3376832</v>
      </c>
      <c r="G176">
        <v>4.05</v>
      </c>
      <c r="H176">
        <v>0.95</v>
      </c>
      <c r="I176">
        <v>539288</v>
      </c>
      <c r="J176">
        <v>339227</v>
      </c>
      <c r="K176">
        <v>208</v>
      </c>
      <c r="L176">
        <v>60</v>
      </c>
      <c r="M176">
        <v>95</v>
      </c>
      <c r="N176">
        <v>5659</v>
      </c>
      <c r="O176">
        <v>1820970</v>
      </c>
      <c r="P176">
        <v>89</v>
      </c>
      <c r="Q176" t="s">
        <v>22</v>
      </c>
      <c r="R176">
        <v>51</v>
      </c>
      <c r="S176" t="s">
        <v>23</v>
      </c>
    </row>
    <row r="177" spans="1:19">
      <c r="A177" t="s">
        <v>383</v>
      </c>
      <c r="B177" t="s">
        <v>384</v>
      </c>
      <c r="C177" t="s">
        <v>41</v>
      </c>
      <c r="D177">
        <v>7</v>
      </c>
      <c r="E177">
        <v>227</v>
      </c>
      <c r="F177">
        <v>1882037</v>
      </c>
      <c r="G177">
        <v>3.45</v>
      </c>
      <c r="H177">
        <v>0.54</v>
      </c>
      <c r="I177">
        <v>424071</v>
      </c>
      <c r="J177">
        <v>452236</v>
      </c>
      <c r="K177">
        <v>538</v>
      </c>
      <c r="L177">
        <v>82</v>
      </c>
      <c r="M177">
        <v>67</v>
      </c>
      <c r="N177">
        <v>7887</v>
      </c>
      <c r="O177">
        <v>1003885</v>
      </c>
      <c r="P177">
        <v>88</v>
      </c>
      <c r="Q177" t="s">
        <v>22</v>
      </c>
      <c r="R177">
        <v>59</v>
      </c>
      <c r="S177" t="s">
        <v>23</v>
      </c>
    </row>
    <row r="178" spans="1:19">
      <c r="A178" t="s">
        <v>385</v>
      </c>
      <c r="B178" t="s">
        <v>386</v>
      </c>
      <c r="C178" t="s">
        <v>44</v>
      </c>
      <c r="D178">
        <v>16</v>
      </c>
      <c r="E178">
        <v>229</v>
      </c>
      <c r="F178">
        <v>1983903</v>
      </c>
      <c r="G178">
        <v>22.12</v>
      </c>
      <c r="H178">
        <v>0.34</v>
      </c>
      <c r="I178">
        <v>-6630</v>
      </c>
      <c r="J178">
        <v>270429</v>
      </c>
      <c r="K178">
        <v>856</v>
      </c>
      <c r="L178">
        <v>50</v>
      </c>
      <c r="M178">
        <v>67</v>
      </c>
      <c r="N178">
        <v>3938</v>
      </c>
      <c r="O178">
        <v>1255138</v>
      </c>
      <c r="P178">
        <v>62</v>
      </c>
      <c r="Q178" t="s">
        <v>22</v>
      </c>
      <c r="R178">
        <v>72</v>
      </c>
      <c r="S178" t="s">
        <v>28</v>
      </c>
    </row>
    <row r="179" spans="1:19">
      <c r="A179" t="s">
        <v>387</v>
      </c>
      <c r="B179" t="s">
        <v>388</v>
      </c>
      <c r="C179" t="s">
        <v>26</v>
      </c>
      <c r="D179">
        <v>10</v>
      </c>
      <c r="E179">
        <v>176</v>
      </c>
      <c r="F179">
        <v>4163502</v>
      </c>
      <c r="G179">
        <v>10.96</v>
      </c>
      <c r="H179">
        <v>0.44</v>
      </c>
      <c r="I179">
        <v>713256</v>
      </c>
      <c r="J179">
        <v>511845</v>
      </c>
      <c r="K179">
        <v>230</v>
      </c>
      <c r="L179">
        <v>83</v>
      </c>
      <c r="M179">
        <v>89</v>
      </c>
      <c r="N179">
        <v>5768</v>
      </c>
      <c r="O179">
        <v>2357668</v>
      </c>
      <c r="P179">
        <v>80</v>
      </c>
      <c r="Q179" t="s">
        <v>22</v>
      </c>
      <c r="R179">
        <v>65</v>
      </c>
      <c r="S179" t="s">
        <v>28</v>
      </c>
    </row>
    <row r="180" spans="1:19">
      <c r="A180" t="s">
        <v>389</v>
      </c>
      <c r="B180" t="s">
        <v>390</v>
      </c>
      <c r="C180" t="s">
        <v>55</v>
      </c>
      <c r="D180">
        <v>6</v>
      </c>
      <c r="E180">
        <v>27</v>
      </c>
      <c r="F180">
        <v>3896749</v>
      </c>
      <c r="G180">
        <v>23.08</v>
      </c>
      <c r="H180">
        <v>0.19</v>
      </c>
      <c r="I180">
        <v>702129</v>
      </c>
      <c r="J180">
        <v>164032</v>
      </c>
      <c r="K180">
        <v>1422</v>
      </c>
      <c r="L180">
        <v>49</v>
      </c>
      <c r="M180">
        <v>75</v>
      </c>
      <c r="N180">
        <v>4419</v>
      </c>
      <c r="O180">
        <v>1972091</v>
      </c>
      <c r="P180">
        <v>75</v>
      </c>
      <c r="Q180" t="s">
        <v>27</v>
      </c>
      <c r="R180">
        <v>79</v>
      </c>
      <c r="S180" t="s">
        <v>28</v>
      </c>
    </row>
    <row r="181" spans="1:19">
      <c r="A181" t="s">
        <v>391</v>
      </c>
      <c r="B181" t="s">
        <v>392</v>
      </c>
      <c r="C181" t="s">
        <v>26</v>
      </c>
      <c r="D181">
        <v>17</v>
      </c>
      <c r="E181">
        <v>239</v>
      </c>
      <c r="F181">
        <v>3681221</v>
      </c>
      <c r="G181">
        <v>4.33</v>
      </c>
      <c r="H181">
        <v>1.17</v>
      </c>
      <c r="I181">
        <v>714477</v>
      </c>
      <c r="J181">
        <v>381151</v>
      </c>
      <c r="K181">
        <v>399</v>
      </c>
      <c r="L181">
        <v>60</v>
      </c>
      <c r="M181">
        <v>88</v>
      </c>
      <c r="N181">
        <v>4037</v>
      </c>
      <c r="O181">
        <v>2009726</v>
      </c>
      <c r="P181">
        <v>82</v>
      </c>
      <c r="Q181" t="s">
        <v>27</v>
      </c>
      <c r="R181">
        <v>45</v>
      </c>
      <c r="S181" t="s">
        <v>23</v>
      </c>
    </row>
    <row r="182" spans="1:19">
      <c r="A182" t="s">
        <v>393</v>
      </c>
      <c r="B182" t="s">
        <v>394</v>
      </c>
      <c r="C182" t="s">
        <v>38</v>
      </c>
      <c r="D182">
        <v>10</v>
      </c>
      <c r="E182">
        <v>46</v>
      </c>
      <c r="F182">
        <v>3334331</v>
      </c>
      <c r="G182">
        <v>24.89</v>
      </c>
      <c r="H182">
        <v>0.92</v>
      </c>
      <c r="I182">
        <v>317917</v>
      </c>
      <c r="J182">
        <v>712932</v>
      </c>
      <c r="K182">
        <v>1658</v>
      </c>
      <c r="L182">
        <v>94</v>
      </c>
      <c r="M182">
        <v>66</v>
      </c>
      <c r="N182">
        <v>5512</v>
      </c>
      <c r="O182">
        <v>1926799</v>
      </c>
      <c r="P182">
        <v>63</v>
      </c>
      <c r="Q182" t="s">
        <v>27</v>
      </c>
      <c r="R182">
        <v>63</v>
      </c>
      <c r="S182" t="s">
        <v>28</v>
      </c>
    </row>
    <row r="183" spans="1:19">
      <c r="A183" t="s">
        <v>395</v>
      </c>
      <c r="B183" t="s">
        <v>396</v>
      </c>
      <c r="C183" t="s">
        <v>44</v>
      </c>
      <c r="D183">
        <v>15</v>
      </c>
      <c r="E183">
        <v>176</v>
      </c>
      <c r="F183">
        <v>3386577</v>
      </c>
      <c r="G183">
        <v>18.309999999999999</v>
      </c>
      <c r="H183">
        <v>0.28000000000000003</v>
      </c>
      <c r="I183">
        <v>707706</v>
      </c>
      <c r="J183">
        <v>659407</v>
      </c>
      <c r="K183">
        <v>1647</v>
      </c>
      <c r="L183">
        <v>46</v>
      </c>
      <c r="M183">
        <v>67</v>
      </c>
      <c r="N183">
        <v>1967</v>
      </c>
      <c r="O183">
        <v>2371914</v>
      </c>
      <c r="P183">
        <v>63</v>
      </c>
      <c r="Q183" t="s">
        <v>22</v>
      </c>
      <c r="R183">
        <v>70</v>
      </c>
      <c r="S183" t="s">
        <v>28</v>
      </c>
    </row>
    <row r="184" spans="1:19">
      <c r="A184" t="s">
        <v>397</v>
      </c>
      <c r="B184" t="s">
        <v>398</v>
      </c>
      <c r="C184" t="s">
        <v>110</v>
      </c>
      <c r="D184">
        <v>14</v>
      </c>
      <c r="E184">
        <v>227</v>
      </c>
      <c r="F184">
        <v>2756399</v>
      </c>
      <c r="G184">
        <v>17.52</v>
      </c>
      <c r="H184">
        <v>0.42</v>
      </c>
      <c r="I184">
        <v>242589</v>
      </c>
      <c r="J184">
        <v>990611</v>
      </c>
      <c r="K184">
        <v>1021</v>
      </c>
      <c r="L184">
        <v>95</v>
      </c>
      <c r="M184">
        <v>96</v>
      </c>
      <c r="N184">
        <v>4929</v>
      </c>
      <c r="O184">
        <v>1848423</v>
      </c>
      <c r="P184">
        <v>69</v>
      </c>
      <c r="Q184" t="s">
        <v>22</v>
      </c>
      <c r="R184">
        <v>68</v>
      </c>
      <c r="S184" t="s">
        <v>28</v>
      </c>
    </row>
    <row r="185" spans="1:19">
      <c r="A185" t="s">
        <v>399</v>
      </c>
      <c r="B185" t="s">
        <v>400</v>
      </c>
      <c r="C185" t="s">
        <v>64</v>
      </c>
      <c r="D185">
        <v>8</v>
      </c>
      <c r="E185">
        <v>98</v>
      </c>
      <c r="F185">
        <v>3144491</v>
      </c>
      <c r="G185">
        <v>21.29</v>
      </c>
      <c r="H185">
        <v>1.2</v>
      </c>
      <c r="I185">
        <v>937949</v>
      </c>
      <c r="J185">
        <v>691146</v>
      </c>
      <c r="K185">
        <v>386</v>
      </c>
      <c r="L185">
        <v>81</v>
      </c>
      <c r="M185">
        <v>83</v>
      </c>
      <c r="N185">
        <v>5372</v>
      </c>
      <c r="O185">
        <v>1780187</v>
      </c>
      <c r="P185">
        <v>87</v>
      </c>
      <c r="Q185" t="s">
        <v>27</v>
      </c>
      <c r="R185">
        <v>61</v>
      </c>
      <c r="S185" t="s">
        <v>28</v>
      </c>
    </row>
    <row r="186" spans="1:19">
      <c r="A186" t="s">
        <v>401</v>
      </c>
      <c r="B186" t="s">
        <v>402</v>
      </c>
      <c r="C186" t="s">
        <v>41</v>
      </c>
      <c r="D186">
        <v>2</v>
      </c>
      <c r="E186">
        <v>76</v>
      </c>
      <c r="F186">
        <v>3623489</v>
      </c>
      <c r="G186">
        <v>15.44</v>
      </c>
      <c r="H186">
        <v>1.05</v>
      </c>
      <c r="I186">
        <v>475824</v>
      </c>
      <c r="J186">
        <v>579604</v>
      </c>
      <c r="K186">
        <v>378</v>
      </c>
      <c r="L186">
        <v>48</v>
      </c>
      <c r="M186">
        <v>67</v>
      </c>
      <c r="N186">
        <v>3464</v>
      </c>
      <c r="O186">
        <v>2819537</v>
      </c>
      <c r="P186">
        <v>71</v>
      </c>
      <c r="Q186" t="s">
        <v>22</v>
      </c>
      <c r="R186">
        <v>54</v>
      </c>
      <c r="S186" t="s">
        <v>23</v>
      </c>
    </row>
    <row r="187" spans="1:19">
      <c r="A187" t="s">
        <v>403</v>
      </c>
      <c r="B187" t="s">
        <v>404</v>
      </c>
      <c r="C187" t="s">
        <v>64</v>
      </c>
      <c r="D187">
        <v>9</v>
      </c>
      <c r="E187">
        <v>93</v>
      </c>
      <c r="F187">
        <v>1404188</v>
      </c>
      <c r="G187">
        <v>8.57</v>
      </c>
      <c r="H187">
        <v>0.86</v>
      </c>
      <c r="I187">
        <v>155320</v>
      </c>
      <c r="J187">
        <v>828547</v>
      </c>
      <c r="K187">
        <v>1303</v>
      </c>
      <c r="L187">
        <v>57</v>
      </c>
      <c r="M187">
        <v>95</v>
      </c>
      <c r="N187">
        <v>7060</v>
      </c>
      <c r="O187">
        <v>1165364</v>
      </c>
      <c r="P187">
        <v>65</v>
      </c>
      <c r="Q187" t="s">
        <v>27</v>
      </c>
      <c r="R187">
        <v>50</v>
      </c>
      <c r="S187" t="s">
        <v>23</v>
      </c>
    </row>
    <row r="188" spans="1:19">
      <c r="A188" t="s">
        <v>405</v>
      </c>
      <c r="B188" t="s">
        <v>406</v>
      </c>
      <c r="C188" t="s">
        <v>75</v>
      </c>
      <c r="D188">
        <v>20</v>
      </c>
      <c r="E188">
        <v>222</v>
      </c>
      <c r="F188">
        <v>2529491</v>
      </c>
      <c r="G188">
        <v>14.85</v>
      </c>
      <c r="H188">
        <v>0.91</v>
      </c>
      <c r="I188">
        <v>194499</v>
      </c>
      <c r="J188">
        <v>241286</v>
      </c>
      <c r="K188">
        <v>338</v>
      </c>
      <c r="L188">
        <v>94</v>
      </c>
      <c r="M188">
        <v>75</v>
      </c>
      <c r="N188">
        <v>3686</v>
      </c>
      <c r="O188">
        <v>2220911</v>
      </c>
      <c r="P188">
        <v>97</v>
      </c>
      <c r="Q188" t="s">
        <v>27</v>
      </c>
      <c r="R188">
        <v>64</v>
      </c>
      <c r="S188" t="s">
        <v>28</v>
      </c>
    </row>
    <row r="189" spans="1:19">
      <c r="A189" t="s">
        <v>407</v>
      </c>
      <c r="B189" t="s">
        <v>408</v>
      </c>
      <c r="C189" t="s">
        <v>110</v>
      </c>
      <c r="D189">
        <v>6</v>
      </c>
      <c r="E189">
        <v>215</v>
      </c>
      <c r="F189">
        <v>2235970</v>
      </c>
      <c r="G189">
        <v>24.62</v>
      </c>
      <c r="H189">
        <v>1.1000000000000001</v>
      </c>
      <c r="I189">
        <v>416433</v>
      </c>
      <c r="J189">
        <v>383830</v>
      </c>
      <c r="K189">
        <v>899</v>
      </c>
      <c r="L189">
        <v>68</v>
      </c>
      <c r="M189">
        <v>76</v>
      </c>
      <c r="N189">
        <v>4046</v>
      </c>
      <c r="O189">
        <v>1668058</v>
      </c>
      <c r="P189">
        <v>72</v>
      </c>
      <c r="Q189" t="s">
        <v>27</v>
      </c>
      <c r="R189">
        <v>62</v>
      </c>
      <c r="S189" t="s">
        <v>28</v>
      </c>
    </row>
    <row r="190" spans="1:19">
      <c r="A190" t="s">
        <v>409</v>
      </c>
      <c r="B190" t="s">
        <v>410</v>
      </c>
      <c r="C190" t="s">
        <v>21</v>
      </c>
      <c r="D190">
        <v>2</v>
      </c>
      <c r="E190">
        <v>99</v>
      </c>
      <c r="F190">
        <v>4230904</v>
      </c>
      <c r="G190">
        <v>12.38</v>
      </c>
      <c r="H190">
        <v>0.48</v>
      </c>
      <c r="I190">
        <v>565058</v>
      </c>
      <c r="J190">
        <v>610602</v>
      </c>
      <c r="K190">
        <v>692</v>
      </c>
      <c r="L190">
        <v>65</v>
      </c>
      <c r="M190">
        <v>91</v>
      </c>
      <c r="N190">
        <v>6365</v>
      </c>
      <c r="O190">
        <v>3371670</v>
      </c>
      <c r="P190">
        <v>78</v>
      </c>
      <c r="Q190" t="s">
        <v>27</v>
      </c>
      <c r="R190">
        <v>65</v>
      </c>
      <c r="S190" t="s">
        <v>28</v>
      </c>
    </row>
    <row r="191" spans="1:19">
      <c r="A191" t="s">
        <v>411</v>
      </c>
      <c r="B191" t="s">
        <v>412</v>
      </c>
      <c r="C191" t="s">
        <v>41</v>
      </c>
      <c r="D191">
        <v>3</v>
      </c>
      <c r="E191">
        <v>93</v>
      </c>
      <c r="F191">
        <v>1414254</v>
      </c>
      <c r="G191">
        <v>3.38</v>
      </c>
      <c r="H191">
        <v>0.28999999999999998</v>
      </c>
      <c r="I191">
        <v>718637</v>
      </c>
      <c r="J191">
        <v>301230</v>
      </c>
      <c r="K191">
        <v>1824</v>
      </c>
      <c r="L191">
        <v>73</v>
      </c>
      <c r="M191">
        <v>78</v>
      </c>
      <c r="N191">
        <v>895</v>
      </c>
      <c r="O191">
        <v>1119035</v>
      </c>
      <c r="P191">
        <v>96</v>
      </c>
      <c r="Q191" t="s">
        <v>27</v>
      </c>
      <c r="R191">
        <v>66</v>
      </c>
      <c r="S191" t="s">
        <v>28</v>
      </c>
    </row>
    <row r="192" spans="1:19">
      <c r="A192" t="s">
        <v>413</v>
      </c>
      <c r="B192" t="s">
        <v>414</v>
      </c>
      <c r="C192" t="s">
        <v>38</v>
      </c>
      <c r="D192">
        <v>14</v>
      </c>
      <c r="E192">
        <v>25</v>
      </c>
      <c r="F192">
        <v>1422948</v>
      </c>
      <c r="G192">
        <v>18.440000000000001</v>
      </c>
      <c r="H192">
        <v>0.19</v>
      </c>
      <c r="I192">
        <v>8740</v>
      </c>
      <c r="J192">
        <v>905613</v>
      </c>
      <c r="K192">
        <v>1550</v>
      </c>
      <c r="L192">
        <v>48</v>
      </c>
      <c r="M192">
        <v>85</v>
      </c>
      <c r="N192">
        <v>6003</v>
      </c>
      <c r="O192">
        <v>877367</v>
      </c>
      <c r="P192">
        <v>84</v>
      </c>
      <c r="Q192" t="s">
        <v>22</v>
      </c>
      <c r="R192">
        <v>78</v>
      </c>
      <c r="S192" t="s">
        <v>28</v>
      </c>
    </row>
    <row r="193" spans="1:19">
      <c r="A193" t="s">
        <v>415</v>
      </c>
      <c r="B193" t="s">
        <v>416</v>
      </c>
      <c r="C193" t="s">
        <v>64</v>
      </c>
      <c r="D193">
        <v>16</v>
      </c>
      <c r="E193">
        <v>92</v>
      </c>
      <c r="F193">
        <v>4258326</v>
      </c>
      <c r="G193">
        <v>3.02</v>
      </c>
      <c r="H193">
        <v>0.46</v>
      </c>
      <c r="I193">
        <v>377605</v>
      </c>
      <c r="J193">
        <v>971306</v>
      </c>
      <c r="K193">
        <v>224</v>
      </c>
      <c r="L193">
        <v>82</v>
      </c>
      <c r="M193">
        <v>91</v>
      </c>
      <c r="N193">
        <v>5086</v>
      </c>
      <c r="O193">
        <v>2308461</v>
      </c>
      <c r="P193">
        <v>91</v>
      </c>
      <c r="Q193" t="s">
        <v>22</v>
      </c>
      <c r="R193">
        <v>61</v>
      </c>
      <c r="S193" t="s">
        <v>28</v>
      </c>
    </row>
    <row r="194" spans="1:19">
      <c r="A194" t="s">
        <v>417</v>
      </c>
      <c r="B194" t="s">
        <v>418</v>
      </c>
      <c r="C194" t="s">
        <v>38</v>
      </c>
      <c r="D194">
        <v>8</v>
      </c>
      <c r="E194">
        <v>233</v>
      </c>
      <c r="F194">
        <v>4806072</v>
      </c>
      <c r="G194">
        <v>9.65</v>
      </c>
      <c r="H194">
        <v>0.24</v>
      </c>
      <c r="I194">
        <v>754940</v>
      </c>
      <c r="J194">
        <v>685605</v>
      </c>
      <c r="K194">
        <v>746</v>
      </c>
      <c r="L194">
        <v>82</v>
      </c>
      <c r="M194">
        <v>69</v>
      </c>
      <c r="N194">
        <v>3033</v>
      </c>
      <c r="O194">
        <v>3768191</v>
      </c>
      <c r="P194">
        <v>96</v>
      </c>
      <c r="Q194" t="s">
        <v>22</v>
      </c>
      <c r="R194">
        <v>73</v>
      </c>
      <c r="S194" t="s">
        <v>28</v>
      </c>
    </row>
    <row r="195" spans="1:19">
      <c r="A195" t="s">
        <v>419</v>
      </c>
      <c r="B195" t="s">
        <v>420</v>
      </c>
      <c r="C195" t="s">
        <v>26</v>
      </c>
      <c r="D195">
        <v>4</v>
      </c>
      <c r="E195">
        <v>137</v>
      </c>
      <c r="F195">
        <v>4521033</v>
      </c>
      <c r="G195">
        <v>17.010000000000002</v>
      </c>
      <c r="H195">
        <v>0.22</v>
      </c>
      <c r="I195">
        <v>450799</v>
      </c>
      <c r="J195">
        <v>614426</v>
      </c>
      <c r="K195">
        <v>678</v>
      </c>
      <c r="L195">
        <v>77</v>
      </c>
      <c r="M195">
        <v>88</v>
      </c>
      <c r="N195">
        <v>2370</v>
      </c>
      <c r="O195">
        <v>2522723</v>
      </c>
      <c r="P195">
        <v>67</v>
      </c>
      <c r="Q195" t="s">
        <v>22</v>
      </c>
      <c r="R195">
        <v>71</v>
      </c>
      <c r="S195" t="s">
        <v>28</v>
      </c>
    </row>
    <row r="196" spans="1:19">
      <c r="A196" t="s">
        <v>421</v>
      </c>
      <c r="B196" t="s">
        <v>422</v>
      </c>
      <c r="C196" t="s">
        <v>31</v>
      </c>
      <c r="D196">
        <v>13</v>
      </c>
      <c r="E196">
        <v>79</v>
      </c>
      <c r="F196">
        <v>2875378</v>
      </c>
      <c r="G196">
        <v>22.6</v>
      </c>
      <c r="H196">
        <v>0.63</v>
      </c>
      <c r="I196">
        <v>38414</v>
      </c>
      <c r="J196">
        <v>535758</v>
      </c>
      <c r="K196">
        <v>294</v>
      </c>
      <c r="L196">
        <v>88</v>
      </c>
      <c r="M196">
        <v>97</v>
      </c>
      <c r="N196">
        <v>3681</v>
      </c>
      <c r="O196">
        <v>1907926</v>
      </c>
      <c r="P196">
        <v>82</v>
      </c>
      <c r="Q196" t="s">
        <v>27</v>
      </c>
      <c r="R196">
        <v>72</v>
      </c>
      <c r="S196" t="s">
        <v>28</v>
      </c>
    </row>
    <row r="197" spans="1:19">
      <c r="A197" t="s">
        <v>423</v>
      </c>
      <c r="B197" t="s">
        <v>424</v>
      </c>
      <c r="C197" t="s">
        <v>75</v>
      </c>
      <c r="D197">
        <v>4</v>
      </c>
      <c r="E197">
        <v>73</v>
      </c>
      <c r="F197">
        <v>4134899</v>
      </c>
      <c r="G197">
        <v>10.79</v>
      </c>
      <c r="H197">
        <v>0.61</v>
      </c>
      <c r="I197">
        <v>775331</v>
      </c>
      <c r="J197">
        <v>654968</v>
      </c>
      <c r="K197">
        <v>1082</v>
      </c>
      <c r="L197">
        <v>45</v>
      </c>
      <c r="M197">
        <v>73</v>
      </c>
      <c r="N197">
        <v>5628</v>
      </c>
      <c r="O197">
        <v>3551603</v>
      </c>
      <c r="P197">
        <v>70</v>
      </c>
      <c r="Q197" t="s">
        <v>22</v>
      </c>
      <c r="R197">
        <v>59</v>
      </c>
      <c r="S197" t="s">
        <v>23</v>
      </c>
    </row>
    <row r="198" spans="1:19">
      <c r="A198" t="s">
        <v>425</v>
      </c>
      <c r="B198" t="s">
        <v>426</v>
      </c>
      <c r="C198" t="s">
        <v>31</v>
      </c>
      <c r="D198">
        <v>2</v>
      </c>
      <c r="E198">
        <v>170</v>
      </c>
      <c r="F198">
        <v>2688274</v>
      </c>
      <c r="G198">
        <v>11.82</v>
      </c>
      <c r="H198">
        <v>0.61</v>
      </c>
      <c r="I198">
        <v>-26078</v>
      </c>
      <c r="J198">
        <v>729062</v>
      </c>
      <c r="K198">
        <v>1108</v>
      </c>
      <c r="L198">
        <v>73</v>
      </c>
      <c r="M198">
        <v>97</v>
      </c>
      <c r="N198">
        <v>5681</v>
      </c>
      <c r="O198">
        <v>1884236</v>
      </c>
      <c r="P198">
        <v>87</v>
      </c>
      <c r="Q198" t="s">
        <v>27</v>
      </c>
      <c r="R198">
        <v>65</v>
      </c>
      <c r="S198" t="s">
        <v>28</v>
      </c>
    </row>
    <row r="199" spans="1:19">
      <c r="A199" t="s">
        <v>427</v>
      </c>
      <c r="B199" t="s">
        <v>428</v>
      </c>
      <c r="C199" t="s">
        <v>26</v>
      </c>
      <c r="D199">
        <v>11</v>
      </c>
      <c r="E199">
        <v>183</v>
      </c>
      <c r="F199">
        <v>827496</v>
      </c>
      <c r="G199">
        <v>11.34</v>
      </c>
      <c r="H199">
        <v>0.5</v>
      </c>
      <c r="I199">
        <v>787469</v>
      </c>
      <c r="J199">
        <v>750183</v>
      </c>
      <c r="K199">
        <v>1164</v>
      </c>
      <c r="L199">
        <v>72</v>
      </c>
      <c r="M199">
        <v>78</v>
      </c>
      <c r="N199">
        <v>7995</v>
      </c>
      <c r="O199">
        <v>547178</v>
      </c>
      <c r="P199">
        <v>66</v>
      </c>
      <c r="Q199" t="s">
        <v>22</v>
      </c>
      <c r="R199">
        <v>60</v>
      </c>
      <c r="S199" t="s">
        <v>28</v>
      </c>
    </row>
    <row r="200" spans="1:19">
      <c r="A200" t="s">
        <v>429</v>
      </c>
      <c r="B200" t="s">
        <v>430</v>
      </c>
      <c r="C200" t="s">
        <v>64</v>
      </c>
      <c r="D200">
        <v>12</v>
      </c>
      <c r="E200">
        <v>250</v>
      </c>
      <c r="F200">
        <v>2056964</v>
      </c>
      <c r="G200">
        <v>14.26</v>
      </c>
      <c r="H200">
        <v>0.67</v>
      </c>
      <c r="I200">
        <v>-76846</v>
      </c>
      <c r="J200">
        <v>918136</v>
      </c>
      <c r="K200">
        <v>612</v>
      </c>
      <c r="L200">
        <v>56</v>
      </c>
      <c r="M200">
        <v>83</v>
      </c>
      <c r="N200">
        <v>7392</v>
      </c>
      <c r="O200">
        <v>1315065</v>
      </c>
      <c r="P200">
        <v>67</v>
      </c>
      <c r="Q200" t="s">
        <v>22</v>
      </c>
      <c r="R200">
        <v>60</v>
      </c>
      <c r="S200" t="s">
        <v>28</v>
      </c>
    </row>
    <row r="201" spans="1:19">
      <c r="A201" t="s">
        <v>431</v>
      </c>
      <c r="B201" t="s">
        <v>432</v>
      </c>
      <c r="C201" t="s">
        <v>64</v>
      </c>
      <c r="D201">
        <v>9</v>
      </c>
      <c r="E201">
        <v>22</v>
      </c>
      <c r="F201">
        <v>2909895</v>
      </c>
      <c r="G201">
        <v>5.59</v>
      </c>
      <c r="H201">
        <v>0.72</v>
      </c>
      <c r="I201">
        <v>695451</v>
      </c>
      <c r="J201">
        <v>575145</v>
      </c>
      <c r="K201">
        <v>1344</v>
      </c>
      <c r="L201">
        <v>84</v>
      </c>
      <c r="M201">
        <v>80</v>
      </c>
      <c r="N201">
        <v>3675</v>
      </c>
      <c r="O201">
        <v>2500924</v>
      </c>
      <c r="P201">
        <v>80</v>
      </c>
      <c r="Q201" t="s">
        <v>27</v>
      </c>
      <c r="R201">
        <v>55</v>
      </c>
      <c r="S201" t="s">
        <v>23</v>
      </c>
    </row>
    <row r="202" spans="1:19">
      <c r="A202" t="s">
        <v>433</v>
      </c>
      <c r="B202" t="s">
        <v>434</v>
      </c>
      <c r="C202" t="s">
        <v>26</v>
      </c>
      <c r="D202">
        <v>18</v>
      </c>
      <c r="E202">
        <v>152</v>
      </c>
      <c r="F202">
        <v>4197823</v>
      </c>
      <c r="G202">
        <v>14.18</v>
      </c>
      <c r="H202">
        <v>0.11</v>
      </c>
      <c r="I202">
        <v>513696</v>
      </c>
      <c r="J202">
        <v>457617</v>
      </c>
      <c r="K202">
        <v>870</v>
      </c>
      <c r="L202">
        <v>55</v>
      </c>
      <c r="M202">
        <v>83</v>
      </c>
      <c r="N202">
        <v>7419</v>
      </c>
      <c r="O202">
        <v>3498131</v>
      </c>
      <c r="P202">
        <v>74</v>
      </c>
      <c r="Q202" t="s">
        <v>27</v>
      </c>
      <c r="R202">
        <v>73</v>
      </c>
      <c r="S202" t="s">
        <v>28</v>
      </c>
    </row>
    <row r="203" spans="1:19">
      <c r="A203" t="s">
        <v>435</v>
      </c>
      <c r="B203" t="s">
        <v>436</v>
      </c>
      <c r="C203" t="s">
        <v>44</v>
      </c>
      <c r="D203">
        <v>12</v>
      </c>
      <c r="E203">
        <v>144</v>
      </c>
      <c r="F203">
        <v>3035733</v>
      </c>
      <c r="G203">
        <v>21.95</v>
      </c>
      <c r="H203">
        <v>0.76</v>
      </c>
      <c r="I203">
        <v>-85269</v>
      </c>
      <c r="J203">
        <v>993041</v>
      </c>
      <c r="K203">
        <v>1895</v>
      </c>
      <c r="L203">
        <v>81</v>
      </c>
      <c r="M203">
        <v>89</v>
      </c>
      <c r="N203">
        <v>2821</v>
      </c>
      <c r="O203">
        <v>1696022</v>
      </c>
      <c r="P203">
        <v>70</v>
      </c>
      <c r="Q203" t="s">
        <v>27</v>
      </c>
      <c r="R203">
        <v>66</v>
      </c>
      <c r="S203" t="s">
        <v>28</v>
      </c>
    </row>
    <row r="204" spans="1:19">
      <c r="A204" t="s">
        <v>437</v>
      </c>
      <c r="B204" t="s">
        <v>438</v>
      </c>
      <c r="C204" t="s">
        <v>110</v>
      </c>
      <c r="D204">
        <v>19</v>
      </c>
      <c r="E204">
        <v>137</v>
      </c>
      <c r="F204">
        <v>1244615</v>
      </c>
      <c r="G204">
        <v>10.18</v>
      </c>
      <c r="H204">
        <v>1.1599999999999999</v>
      </c>
      <c r="I204">
        <v>-87254</v>
      </c>
      <c r="J204">
        <v>276955</v>
      </c>
      <c r="K204">
        <v>747</v>
      </c>
      <c r="L204">
        <v>90</v>
      </c>
      <c r="M204">
        <v>62</v>
      </c>
      <c r="N204">
        <v>7303</v>
      </c>
      <c r="O204">
        <v>838503</v>
      </c>
      <c r="P204">
        <v>95</v>
      </c>
      <c r="Q204" t="s">
        <v>22</v>
      </c>
      <c r="R204">
        <v>54</v>
      </c>
      <c r="S204" t="s">
        <v>23</v>
      </c>
    </row>
    <row r="205" spans="1:19">
      <c r="A205" t="s">
        <v>439</v>
      </c>
      <c r="B205" t="s">
        <v>440</v>
      </c>
      <c r="C205" t="s">
        <v>110</v>
      </c>
      <c r="D205">
        <v>19</v>
      </c>
      <c r="E205">
        <v>23</v>
      </c>
      <c r="F205">
        <v>3577993</v>
      </c>
      <c r="G205">
        <v>5.01</v>
      </c>
      <c r="H205">
        <v>0.43</v>
      </c>
      <c r="I205">
        <v>92994</v>
      </c>
      <c r="J205">
        <v>549451</v>
      </c>
      <c r="K205">
        <v>269</v>
      </c>
      <c r="L205">
        <v>74</v>
      </c>
      <c r="M205">
        <v>90</v>
      </c>
      <c r="N205">
        <v>2776</v>
      </c>
      <c r="O205">
        <v>2524471</v>
      </c>
      <c r="P205">
        <v>65</v>
      </c>
      <c r="Q205" t="s">
        <v>22</v>
      </c>
      <c r="R205">
        <v>55</v>
      </c>
      <c r="S205" t="s">
        <v>23</v>
      </c>
    </row>
    <row r="206" spans="1:19">
      <c r="A206" t="s">
        <v>441</v>
      </c>
      <c r="B206" t="s">
        <v>442</v>
      </c>
      <c r="C206" t="s">
        <v>21</v>
      </c>
      <c r="D206">
        <v>18</v>
      </c>
      <c r="E206">
        <v>110</v>
      </c>
      <c r="F206">
        <v>4978982</v>
      </c>
      <c r="G206">
        <v>16.82</v>
      </c>
      <c r="H206">
        <v>1.0900000000000001</v>
      </c>
      <c r="I206">
        <v>580164</v>
      </c>
      <c r="J206">
        <v>360423</v>
      </c>
      <c r="K206">
        <v>1726</v>
      </c>
      <c r="L206">
        <v>79</v>
      </c>
      <c r="M206">
        <v>73</v>
      </c>
      <c r="N206">
        <v>7289</v>
      </c>
      <c r="O206">
        <v>3863327</v>
      </c>
      <c r="P206">
        <v>83</v>
      </c>
      <c r="Q206" t="s">
        <v>27</v>
      </c>
      <c r="R206">
        <v>58</v>
      </c>
      <c r="S206" t="s">
        <v>23</v>
      </c>
    </row>
    <row r="207" spans="1:19">
      <c r="A207" t="s">
        <v>443</v>
      </c>
      <c r="B207" t="s">
        <v>444</v>
      </c>
      <c r="C207" t="s">
        <v>64</v>
      </c>
      <c r="D207">
        <v>17</v>
      </c>
      <c r="E207">
        <v>55</v>
      </c>
      <c r="F207">
        <v>1653253</v>
      </c>
      <c r="G207">
        <v>15.01</v>
      </c>
      <c r="H207">
        <v>0.79</v>
      </c>
      <c r="I207">
        <v>670408</v>
      </c>
      <c r="J207">
        <v>689351</v>
      </c>
      <c r="K207">
        <v>373</v>
      </c>
      <c r="L207">
        <v>93</v>
      </c>
      <c r="M207">
        <v>97</v>
      </c>
      <c r="N207">
        <v>4406</v>
      </c>
      <c r="O207">
        <v>1232438</v>
      </c>
      <c r="P207">
        <v>81</v>
      </c>
      <c r="Q207" t="s">
        <v>27</v>
      </c>
      <c r="R207">
        <v>62</v>
      </c>
      <c r="S207" t="s">
        <v>28</v>
      </c>
    </row>
    <row r="208" spans="1:19">
      <c r="A208" t="s">
        <v>445</v>
      </c>
      <c r="B208" t="s">
        <v>446</v>
      </c>
      <c r="C208" t="s">
        <v>44</v>
      </c>
      <c r="D208">
        <v>3</v>
      </c>
      <c r="E208">
        <v>249</v>
      </c>
      <c r="F208">
        <v>3840125</v>
      </c>
      <c r="G208">
        <v>10.52</v>
      </c>
      <c r="H208">
        <v>0.71</v>
      </c>
      <c r="I208">
        <v>-55402</v>
      </c>
      <c r="J208">
        <v>442879</v>
      </c>
      <c r="K208">
        <v>904</v>
      </c>
      <c r="L208">
        <v>88</v>
      </c>
      <c r="M208">
        <v>91</v>
      </c>
      <c r="N208">
        <v>5734</v>
      </c>
      <c r="O208">
        <v>3129687</v>
      </c>
      <c r="P208">
        <v>86</v>
      </c>
      <c r="Q208" t="s">
        <v>22</v>
      </c>
      <c r="R208">
        <v>61</v>
      </c>
      <c r="S208" t="s">
        <v>28</v>
      </c>
    </row>
    <row r="209" spans="1:19">
      <c r="A209" t="s">
        <v>447</v>
      </c>
      <c r="B209" t="s">
        <v>448</v>
      </c>
      <c r="C209" t="s">
        <v>21</v>
      </c>
      <c r="D209">
        <v>15</v>
      </c>
      <c r="E209">
        <v>137</v>
      </c>
      <c r="F209">
        <v>2304854</v>
      </c>
      <c r="G209">
        <v>9.4499999999999993</v>
      </c>
      <c r="H209">
        <v>0.85</v>
      </c>
      <c r="I209">
        <v>-40225</v>
      </c>
      <c r="J209">
        <v>809289</v>
      </c>
      <c r="K209">
        <v>583</v>
      </c>
      <c r="L209">
        <v>45</v>
      </c>
      <c r="M209">
        <v>69</v>
      </c>
      <c r="N209">
        <v>6020</v>
      </c>
      <c r="O209">
        <v>1601928</v>
      </c>
      <c r="P209">
        <v>77</v>
      </c>
      <c r="Q209" t="s">
        <v>22</v>
      </c>
      <c r="R209">
        <v>55</v>
      </c>
      <c r="S209" t="s">
        <v>23</v>
      </c>
    </row>
    <row r="210" spans="1:19">
      <c r="A210" t="s">
        <v>449</v>
      </c>
      <c r="B210" t="s">
        <v>450</v>
      </c>
      <c r="C210" t="s">
        <v>110</v>
      </c>
      <c r="D210">
        <v>4</v>
      </c>
      <c r="E210">
        <v>227</v>
      </c>
      <c r="F210">
        <v>1554484</v>
      </c>
      <c r="G210">
        <v>9.83</v>
      </c>
      <c r="H210">
        <v>0.95</v>
      </c>
      <c r="I210">
        <v>975116</v>
      </c>
      <c r="J210">
        <v>990100</v>
      </c>
      <c r="K210">
        <v>943</v>
      </c>
      <c r="L210">
        <v>57</v>
      </c>
      <c r="M210">
        <v>90</v>
      </c>
      <c r="N210">
        <v>2471</v>
      </c>
      <c r="O210">
        <v>918926</v>
      </c>
      <c r="P210">
        <v>76</v>
      </c>
      <c r="Q210" t="s">
        <v>22</v>
      </c>
      <c r="R210">
        <v>53</v>
      </c>
      <c r="S210" t="s">
        <v>23</v>
      </c>
    </row>
    <row r="211" spans="1:19">
      <c r="A211" t="s">
        <v>451</v>
      </c>
      <c r="B211" t="s">
        <v>452</v>
      </c>
      <c r="C211" t="s">
        <v>64</v>
      </c>
      <c r="D211">
        <v>15</v>
      </c>
      <c r="E211">
        <v>61</v>
      </c>
      <c r="F211">
        <v>1784025</v>
      </c>
      <c r="G211">
        <v>12.34</v>
      </c>
      <c r="H211">
        <v>0.47</v>
      </c>
      <c r="I211">
        <v>967515</v>
      </c>
      <c r="J211">
        <v>214722</v>
      </c>
      <c r="K211">
        <v>1049</v>
      </c>
      <c r="L211">
        <v>69</v>
      </c>
      <c r="M211">
        <v>77</v>
      </c>
      <c r="N211">
        <v>3596</v>
      </c>
      <c r="O211">
        <v>974583</v>
      </c>
      <c r="P211">
        <v>85</v>
      </c>
      <c r="Q211" t="s">
        <v>22</v>
      </c>
      <c r="R211">
        <v>67</v>
      </c>
      <c r="S211" t="s">
        <v>28</v>
      </c>
    </row>
    <row r="212" spans="1:19">
      <c r="A212" t="s">
        <v>453</v>
      </c>
      <c r="B212" t="s">
        <v>454</v>
      </c>
      <c r="C212" t="s">
        <v>21</v>
      </c>
      <c r="D212">
        <v>13</v>
      </c>
      <c r="E212">
        <v>226</v>
      </c>
      <c r="F212">
        <v>4442081</v>
      </c>
      <c r="G212">
        <v>24.54</v>
      </c>
      <c r="H212">
        <v>0.51</v>
      </c>
      <c r="I212">
        <v>455927</v>
      </c>
      <c r="J212">
        <v>915243</v>
      </c>
      <c r="K212">
        <v>1696</v>
      </c>
      <c r="L212">
        <v>73</v>
      </c>
      <c r="M212">
        <v>66</v>
      </c>
      <c r="N212">
        <v>4603</v>
      </c>
      <c r="O212">
        <v>2558369</v>
      </c>
      <c r="P212">
        <v>74</v>
      </c>
      <c r="Q212" t="s">
        <v>27</v>
      </c>
      <c r="R212">
        <v>74</v>
      </c>
      <c r="S212" t="s">
        <v>28</v>
      </c>
    </row>
    <row r="213" spans="1:19">
      <c r="A213" t="s">
        <v>455</v>
      </c>
      <c r="B213" t="s">
        <v>456</v>
      </c>
      <c r="C213" t="s">
        <v>21</v>
      </c>
      <c r="D213">
        <v>19</v>
      </c>
      <c r="E213">
        <v>143</v>
      </c>
      <c r="F213">
        <v>748267</v>
      </c>
      <c r="G213">
        <v>21.72</v>
      </c>
      <c r="H213">
        <v>0.94</v>
      </c>
      <c r="I213">
        <v>128456</v>
      </c>
      <c r="J213">
        <v>755152</v>
      </c>
      <c r="K213">
        <v>393</v>
      </c>
      <c r="L213">
        <v>47</v>
      </c>
      <c r="M213">
        <v>87</v>
      </c>
      <c r="N213">
        <v>6179</v>
      </c>
      <c r="O213">
        <v>445717</v>
      </c>
      <c r="P213">
        <v>80</v>
      </c>
      <c r="Q213" t="s">
        <v>27</v>
      </c>
      <c r="R213">
        <v>65</v>
      </c>
      <c r="S213" t="s">
        <v>28</v>
      </c>
    </row>
    <row r="214" spans="1:19">
      <c r="A214" t="s">
        <v>457</v>
      </c>
      <c r="B214" t="s">
        <v>458</v>
      </c>
      <c r="C214" t="s">
        <v>41</v>
      </c>
      <c r="D214">
        <v>20</v>
      </c>
      <c r="E214">
        <v>121</v>
      </c>
      <c r="F214">
        <v>2097259</v>
      </c>
      <c r="G214">
        <v>20.64</v>
      </c>
      <c r="H214">
        <v>0.2</v>
      </c>
      <c r="I214">
        <v>-21257</v>
      </c>
      <c r="J214">
        <v>667264</v>
      </c>
      <c r="K214">
        <v>375</v>
      </c>
      <c r="L214">
        <v>94</v>
      </c>
      <c r="M214">
        <v>69</v>
      </c>
      <c r="N214">
        <v>2546</v>
      </c>
      <c r="O214">
        <v>1382058</v>
      </c>
      <c r="P214">
        <v>96</v>
      </c>
      <c r="Q214" t="s">
        <v>27</v>
      </c>
      <c r="R214">
        <v>83</v>
      </c>
      <c r="S214" t="s">
        <v>137</v>
      </c>
    </row>
    <row r="215" spans="1:19">
      <c r="A215" t="s">
        <v>459</v>
      </c>
      <c r="B215" t="s">
        <v>460</v>
      </c>
      <c r="C215" t="s">
        <v>21</v>
      </c>
      <c r="D215">
        <v>7</v>
      </c>
      <c r="E215">
        <v>92</v>
      </c>
      <c r="F215">
        <v>1482435</v>
      </c>
      <c r="G215">
        <v>8.57</v>
      </c>
      <c r="H215">
        <v>0.64</v>
      </c>
      <c r="I215">
        <v>112973</v>
      </c>
      <c r="J215">
        <v>830498</v>
      </c>
      <c r="K215">
        <v>135</v>
      </c>
      <c r="L215">
        <v>87</v>
      </c>
      <c r="M215">
        <v>63</v>
      </c>
      <c r="N215">
        <v>4784</v>
      </c>
      <c r="O215">
        <v>742379</v>
      </c>
      <c r="P215">
        <v>80</v>
      </c>
      <c r="Q215" t="s">
        <v>27</v>
      </c>
      <c r="R215">
        <v>59</v>
      </c>
      <c r="S215" t="s">
        <v>23</v>
      </c>
    </row>
    <row r="216" spans="1:19">
      <c r="A216" t="s">
        <v>461</v>
      </c>
      <c r="B216" t="s">
        <v>462</v>
      </c>
      <c r="C216" t="s">
        <v>44</v>
      </c>
      <c r="D216">
        <v>16</v>
      </c>
      <c r="E216">
        <v>182</v>
      </c>
      <c r="F216">
        <v>3640626</v>
      </c>
      <c r="G216">
        <v>7.13</v>
      </c>
      <c r="H216">
        <v>0.64</v>
      </c>
      <c r="I216">
        <v>188203</v>
      </c>
      <c r="J216">
        <v>177754</v>
      </c>
      <c r="K216">
        <v>855</v>
      </c>
      <c r="L216">
        <v>84</v>
      </c>
      <c r="M216">
        <v>96</v>
      </c>
      <c r="N216">
        <v>3526</v>
      </c>
      <c r="O216">
        <v>2970195</v>
      </c>
      <c r="P216">
        <v>73</v>
      </c>
      <c r="Q216" t="s">
        <v>27</v>
      </c>
      <c r="R216">
        <v>56</v>
      </c>
      <c r="S216" t="s">
        <v>23</v>
      </c>
    </row>
    <row r="217" spans="1:19">
      <c r="A217" t="s">
        <v>463</v>
      </c>
      <c r="B217" t="s">
        <v>464</v>
      </c>
      <c r="C217" t="s">
        <v>31</v>
      </c>
      <c r="D217">
        <v>7</v>
      </c>
      <c r="E217">
        <v>147</v>
      </c>
      <c r="F217">
        <v>3823708</v>
      </c>
      <c r="G217">
        <v>12.62</v>
      </c>
      <c r="H217">
        <v>0.71</v>
      </c>
      <c r="I217">
        <v>-48747</v>
      </c>
      <c r="J217">
        <v>533593</v>
      </c>
      <c r="K217">
        <v>1370</v>
      </c>
      <c r="L217">
        <v>61</v>
      </c>
      <c r="M217">
        <v>67</v>
      </c>
      <c r="N217">
        <v>5561</v>
      </c>
      <c r="O217">
        <v>3333134</v>
      </c>
      <c r="P217">
        <v>81</v>
      </c>
      <c r="Q217" t="s">
        <v>22</v>
      </c>
      <c r="R217">
        <v>61</v>
      </c>
      <c r="S217" t="s">
        <v>28</v>
      </c>
    </row>
    <row r="218" spans="1:19">
      <c r="A218" t="s">
        <v>465</v>
      </c>
      <c r="B218" t="s">
        <v>466</v>
      </c>
      <c r="C218" t="s">
        <v>55</v>
      </c>
      <c r="D218">
        <v>4</v>
      </c>
      <c r="E218">
        <v>196</v>
      </c>
      <c r="F218">
        <v>4857615</v>
      </c>
      <c r="G218">
        <v>23.14</v>
      </c>
      <c r="H218">
        <v>1.1399999999999999</v>
      </c>
      <c r="I218">
        <v>659118</v>
      </c>
      <c r="J218">
        <v>947419</v>
      </c>
      <c r="K218">
        <v>1137</v>
      </c>
      <c r="L218">
        <v>63</v>
      </c>
      <c r="M218">
        <v>96</v>
      </c>
      <c r="N218">
        <v>4957</v>
      </c>
      <c r="O218">
        <v>3531691</v>
      </c>
      <c r="P218">
        <v>62</v>
      </c>
      <c r="Q218" t="s">
        <v>27</v>
      </c>
      <c r="R218">
        <v>57</v>
      </c>
      <c r="S218" t="s">
        <v>23</v>
      </c>
    </row>
    <row r="219" spans="1:19">
      <c r="A219" t="s">
        <v>467</v>
      </c>
      <c r="B219" t="s">
        <v>468</v>
      </c>
      <c r="C219" t="s">
        <v>26</v>
      </c>
      <c r="D219">
        <v>20</v>
      </c>
      <c r="E219">
        <v>122</v>
      </c>
      <c r="F219">
        <v>1453886</v>
      </c>
      <c r="G219">
        <v>24.31</v>
      </c>
      <c r="H219">
        <v>0.16</v>
      </c>
      <c r="I219">
        <v>678513</v>
      </c>
      <c r="J219">
        <v>680501</v>
      </c>
      <c r="K219">
        <v>1739</v>
      </c>
      <c r="L219">
        <v>48</v>
      </c>
      <c r="M219">
        <v>98</v>
      </c>
      <c r="N219">
        <v>2994</v>
      </c>
      <c r="O219">
        <v>931642</v>
      </c>
      <c r="P219">
        <v>84</v>
      </c>
      <c r="Q219" t="s">
        <v>22</v>
      </c>
      <c r="R219">
        <v>84</v>
      </c>
      <c r="S219" t="s">
        <v>137</v>
      </c>
    </row>
    <row r="220" spans="1:19">
      <c r="A220" t="s">
        <v>469</v>
      </c>
      <c r="B220" t="s">
        <v>470</v>
      </c>
      <c r="C220" t="s">
        <v>31</v>
      </c>
      <c r="D220">
        <v>12</v>
      </c>
      <c r="E220">
        <v>216</v>
      </c>
      <c r="F220">
        <v>1035477</v>
      </c>
      <c r="G220">
        <v>5.36</v>
      </c>
      <c r="H220">
        <v>0.41</v>
      </c>
      <c r="I220">
        <v>347706</v>
      </c>
      <c r="J220">
        <v>180467</v>
      </c>
      <c r="K220">
        <v>1154</v>
      </c>
      <c r="L220">
        <v>60</v>
      </c>
      <c r="M220">
        <v>92</v>
      </c>
      <c r="N220">
        <v>4418</v>
      </c>
      <c r="O220">
        <v>692682</v>
      </c>
      <c r="P220">
        <v>85</v>
      </c>
      <c r="Q220" t="s">
        <v>27</v>
      </c>
      <c r="R220">
        <v>62</v>
      </c>
      <c r="S220" t="s">
        <v>28</v>
      </c>
    </row>
    <row r="221" spans="1:19">
      <c r="A221" t="s">
        <v>471</v>
      </c>
      <c r="B221" t="s">
        <v>472</v>
      </c>
      <c r="C221" t="s">
        <v>26</v>
      </c>
      <c r="D221">
        <v>12</v>
      </c>
      <c r="E221">
        <v>44</v>
      </c>
      <c r="F221">
        <v>2575649</v>
      </c>
      <c r="G221">
        <v>23.86</v>
      </c>
      <c r="H221">
        <v>0.33</v>
      </c>
      <c r="I221">
        <v>260001</v>
      </c>
      <c r="J221">
        <v>684329</v>
      </c>
      <c r="K221">
        <v>1585</v>
      </c>
      <c r="L221">
        <v>85</v>
      </c>
      <c r="M221">
        <v>61</v>
      </c>
      <c r="N221">
        <v>5591</v>
      </c>
      <c r="O221">
        <v>2117966</v>
      </c>
      <c r="P221">
        <v>80</v>
      </c>
      <c r="Q221" t="s">
        <v>27</v>
      </c>
      <c r="R221">
        <v>79</v>
      </c>
      <c r="S221" t="s">
        <v>28</v>
      </c>
    </row>
    <row r="222" spans="1:19">
      <c r="A222" t="s">
        <v>473</v>
      </c>
      <c r="B222" t="s">
        <v>474</v>
      </c>
      <c r="C222" t="s">
        <v>75</v>
      </c>
      <c r="D222">
        <v>13</v>
      </c>
      <c r="E222">
        <v>65</v>
      </c>
      <c r="F222">
        <v>678923</v>
      </c>
      <c r="G222">
        <v>17.86</v>
      </c>
      <c r="H222">
        <v>0.62</v>
      </c>
      <c r="I222">
        <v>967538</v>
      </c>
      <c r="J222">
        <v>183537</v>
      </c>
      <c r="K222">
        <v>1751</v>
      </c>
      <c r="L222">
        <v>58</v>
      </c>
      <c r="M222">
        <v>84</v>
      </c>
      <c r="N222">
        <v>2056</v>
      </c>
      <c r="O222">
        <v>400587</v>
      </c>
      <c r="P222">
        <v>62</v>
      </c>
      <c r="Q222" t="s">
        <v>27</v>
      </c>
      <c r="R222">
        <v>62</v>
      </c>
      <c r="S222" t="s">
        <v>28</v>
      </c>
    </row>
    <row r="223" spans="1:19">
      <c r="A223" t="s">
        <v>475</v>
      </c>
      <c r="B223" t="s">
        <v>476</v>
      </c>
      <c r="C223" t="s">
        <v>31</v>
      </c>
      <c r="D223">
        <v>17</v>
      </c>
      <c r="E223">
        <v>48</v>
      </c>
      <c r="F223">
        <v>3964481</v>
      </c>
      <c r="G223">
        <v>11.93</v>
      </c>
      <c r="H223">
        <v>0.88</v>
      </c>
      <c r="I223">
        <v>767134</v>
      </c>
      <c r="J223">
        <v>459247</v>
      </c>
      <c r="K223">
        <v>727</v>
      </c>
      <c r="L223">
        <v>86</v>
      </c>
      <c r="M223">
        <v>95</v>
      </c>
      <c r="N223">
        <v>7360</v>
      </c>
      <c r="O223">
        <v>2118154</v>
      </c>
      <c r="P223">
        <v>98</v>
      </c>
      <c r="Q223" t="s">
        <v>27</v>
      </c>
      <c r="R223">
        <v>63</v>
      </c>
      <c r="S223" t="s">
        <v>28</v>
      </c>
    </row>
    <row r="224" spans="1:19">
      <c r="A224" t="s">
        <v>477</v>
      </c>
      <c r="B224" t="s">
        <v>478</v>
      </c>
      <c r="C224" t="s">
        <v>21</v>
      </c>
      <c r="D224">
        <v>9</v>
      </c>
      <c r="E224">
        <v>201</v>
      </c>
      <c r="F224">
        <v>3997058</v>
      </c>
      <c r="G224">
        <v>23.68</v>
      </c>
      <c r="H224">
        <v>0.23</v>
      </c>
      <c r="I224">
        <v>711586</v>
      </c>
      <c r="J224">
        <v>579445</v>
      </c>
      <c r="K224">
        <v>1306</v>
      </c>
      <c r="L224">
        <v>50</v>
      </c>
      <c r="M224">
        <v>83</v>
      </c>
      <c r="N224">
        <v>4478</v>
      </c>
      <c r="O224">
        <v>3498998</v>
      </c>
      <c r="P224">
        <v>87</v>
      </c>
      <c r="Q224" t="s">
        <v>27</v>
      </c>
      <c r="R224">
        <v>83</v>
      </c>
      <c r="S224" t="s">
        <v>137</v>
      </c>
    </row>
    <row r="225" spans="1:19">
      <c r="A225" t="s">
        <v>479</v>
      </c>
      <c r="B225" t="s">
        <v>480</v>
      </c>
      <c r="C225" t="s">
        <v>75</v>
      </c>
      <c r="D225">
        <v>19</v>
      </c>
      <c r="E225">
        <v>62</v>
      </c>
      <c r="F225">
        <v>3782991</v>
      </c>
      <c r="G225">
        <v>19.850000000000001</v>
      </c>
      <c r="H225">
        <v>0.48</v>
      </c>
      <c r="I225">
        <v>239185</v>
      </c>
      <c r="J225">
        <v>967701</v>
      </c>
      <c r="K225">
        <v>149</v>
      </c>
      <c r="L225">
        <v>46</v>
      </c>
      <c r="M225">
        <v>91</v>
      </c>
      <c r="N225">
        <v>684</v>
      </c>
      <c r="O225">
        <v>2344749</v>
      </c>
      <c r="P225">
        <v>61</v>
      </c>
      <c r="Q225" t="s">
        <v>22</v>
      </c>
      <c r="R225">
        <v>67</v>
      </c>
      <c r="S225" t="s">
        <v>28</v>
      </c>
    </row>
    <row r="226" spans="1:19">
      <c r="A226" t="s">
        <v>481</v>
      </c>
      <c r="B226" t="s">
        <v>482</v>
      </c>
      <c r="C226" t="s">
        <v>38</v>
      </c>
      <c r="D226">
        <v>4</v>
      </c>
      <c r="E226">
        <v>25</v>
      </c>
      <c r="F226">
        <v>3601105</v>
      </c>
      <c r="G226">
        <v>19.649999999999999</v>
      </c>
      <c r="H226">
        <v>0.2</v>
      </c>
      <c r="I226">
        <v>-22652</v>
      </c>
      <c r="J226">
        <v>112538</v>
      </c>
      <c r="K226">
        <v>941</v>
      </c>
      <c r="L226">
        <v>70</v>
      </c>
      <c r="M226">
        <v>73</v>
      </c>
      <c r="N226">
        <v>6883</v>
      </c>
      <c r="O226">
        <v>2463048</v>
      </c>
      <c r="P226">
        <v>98</v>
      </c>
      <c r="Q226" t="s">
        <v>27</v>
      </c>
      <c r="R226">
        <v>83</v>
      </c>
      <c r="S226" t="s">
        <v>137</v>
      </c>
    </row>
    <row r="227" spans="1:19">
      <c r="A227" t="s">
        <v>483</v>
      </c>
      <c r="B227" t="s">
        <v>484</v>
      </c>
      <c r="C227" t="s">
        <v>21</v>
      </c>
      <c r="D227">
        <v>5</v>
      </c>
      <c r="E227">
        <v>88</v>
      </c>
      <c r="F227">
        <v>3923495</v>
      </c>
      <c r="G227">
        <v>6.28</v>
      </c>
      <c r="H227">
        <v>0.76</v>
      </c>
      <c r="I227">
        <v>182131</v>
      </c>
      <c r="J227">
        <v>390283</v>
      </c>
      <c r="K227">
        <v>1348</v>
      </c>
      <c r="L227">
        <v>95</v>
      </c>
      <c r="M227">
        <v>91</v>
      </c>
      <c r="N227">
        <v>2206</v>
      </c>
      <c r="O227">
        <v>3606033</v>
      </c>
      <c r="P227">
        <v>62</v>
      </c>
      <c r="Q227" t="s">
        <v>22</v>
      </c>
      <c r="R227">
        <v>49</v>
      </c>
      <c r="S227" t="s">
        <v>23</v>
      </c>
    </row>
    <row r="228" spans="1:19">
      <c r="A228" t="s">
        <v>485</v>
      </c>
      <c r="B228" t="s">
        <v>486</v>
      </c>
      <c r="C228" t="s">
        <v>64</v>
      </c>
      <c r="D228">
        <v>18</v>
      </c>
      <c r="E228">
        <v>242</v>
      </c>
      <c r="F228">
        <v>1508296</v>
      </c>
      <c r="G228">
        <v>18.149999999999999</v>
      </c>
      <c r="H228">
        <v>0.75</v>
      </c>
      <c r="I228">
        <v>-36958</v>
      </c>
      <c r="J228">
        <v>436613</v>
      </c>
      <c r="K228">
        <v>882</v>
      </c>
      <c r="L228">
        <v>82</v>
      </c>
      <c r="M228">
        <v>98</v>
      </c>
      <c r="N228">
        <v>3239</v>
      </c>
      <c r="O228">
        <v>880873</v>
      </c>
      <c r="P228">
        <v>77</v>
      </c>
      <c r="Q228" t="s">
        <v>22</v>
      </c>
      <c r="R228">
        <v>64</v>
      </c>
      <c r="S228" t="s">
        <v>28</v>
      </c>
    </row>
    <row r="229" spans="1:19">
      <c r="A229" t="s">
        <v>487</v>
      </c>
      <c r="B229" t="s">
        <v>488</v>
      </c>
      <c r="C229" t="s">
        <v>26</v>
      </c>
      <c r="D229">
        <v>4</v>
      </c>
      <c r="E229">
        <v>180</v>
      </c>
      <c r="F229">
        <v>2494640</v>
      </c>
      <c r="G229">
        <v>22.76</v>
      </c>
      <c r="H229">
        <v>1.02</v>
      </c>
      <c r="I229">
        <v>440093</v>
      </c>
      <c r="J229">
        <v>993127</v>
      </c>
      <c r="K229">
        <v>132</v>
      </c>
      <c r="L229">
        <v>53</v>
      </c>
      <c r="M229">
        <v>66</v>
      </c>
      <c r="N229">
        <v>4270</v>
      </c>
      <c r="O229">
        <v>2137801</v>
      </c>
      <c r="P229">
        <v>65</v>
      </c>
      <c r="Q229" t="s">
        <v>27</v>
      </c>
      <c r="R229">
        <v>60</v>
      </c>
      <c r="S229" t="s">
        <v>28</v>
      </c>
    </row>
    <row r="230" spans="1:19">
      <c r="A230" t="s">
        <v>489</v>
      </c>
      <c r="B230" t="s">
        <v>490</v>
      </c>
      <c r="C230" t="s">
        <v>41</v>
      </c>
      <c r="D230">
        <v>6</v>
      </c>
      <c r="E230">
        <v>151</v>
      </c>
      <c r="F230">
        <v>1704683</v>
      </c>
      <c r="G230">
        <v>21.35</v>
      </c>
      <c r="H230">
        <v>0.91</v>
      </c>
      <c r="I230">
        <v>73664</v>
      </c>
      <c r="J230">
        <v>159946</v>
      </c>
      <c r="K230">
        <v>1651</v>
      </c>
      <c r="L230">
        <v>92</v>
      </c>
      <c r="M230">
        <v>62</v>
      </c>
      <c r="N230">
        <v>2762</v>
      </c>
      <c r="O230">
        <v>1133673</v>
      </c>
      <c r="P230">
        <v>89</v>
      </c>
      <c r="Q230" t="s">
        <v>22</v>
      </c>
      <c r="R230">
        <v>68</v>
      </c>
      <c r="S230" t="s">
        <v>28</v>
      </c>
    </row>
    <row r="231" spans="1:19">
      <c r="A231" t="s">
        <v>491</v>
      </c>
      <c r="B231" t="s">
        <v>492</v>
      </c>
      <c r="C231" t="s">
        <v>64</v>
      </c>
      <c r="D231">
        <v>2</v>
      </c>
      <c r="E231">
        <v>78</v>
      </c>
      <c r="F231">
        <v>2163243</v>
      </c>
      <c r="G231">
        <v>10.6</v>
      </c>
      <c r="H231">
        <v>0.73</v>
      </c>
      <c r="I231">
        <v>159279</v>
      </c>
      <c r="J231">
        <v>783201</v>
      </c>
      <c r="K231">
        <v>1727</v>
      </c>
      <c r="L231">
        <v>73</v>
      </c>
      <c r="M231">
        <v>82</v>
      </c>
      <c r="N231">
        <v>2427</v>
      </c>
      <c r="O231">
        <v>1107319</v>
      </c>
      <c r="P231">
        <v>96</v>
      </c>
      <c r="Q231" t="s">
        <v>22</v>
      </c>
      <c r="R231">
        <v>64</v>
      </c>
      <c r="S231" t="s">
        <v>28</v>
      </c>
    </row>
    <row r="232" spans="1:19">
      <c r="A232" t="s">
        <v>493</v>
      </c>
      <c r="B232" t="s">
        <v>494</v>
      </c>
      <c r="C232" t="s">
        <v>41</v>
      </c>
      <c r="D232">
        <v>9</v>
      </c>
      <c r="E232">
        <v>113</v>
      </c>
      <c r="F232">
        <v>4755689</v>
      </c>
      <c r="G232">
        <v>4.74</v>
      </c>
      <c r="H232">
        <v>0.47</v>
      </c>
      <c r="I232">
        <v>547211</v>
      </c>
      <c r="J232">
        <v>230209</v>
      </c>
      <c r="K232">
        <v>156</v>
      </c>
      <c r="L232">
        <v>90</v>
      </c>
      <c r="M232">
        <v>95</v>
      </c>
      <c r="N232">
        <v>5316</v>
      </c>
      <c r="O232">
        <v>3853785</v>
      </c>
      <c r="P232">
        <v>65</v>
      </c>
      <c r="Q232" t="s">
        <v>27</v>
      </c>
      <c r="R232">
        <v>54</v>
      </c>
      <c r="S232" t="s">
        <v>23</v>
      </c>
    </row>
    <row r="233" spans="1:19">
      <c r="A233" t="s">
        <v>495</v>
      </c>
      <c r="B233" t="s">
        <v>496</v>
      </c>
      <c r="C233" t="s">
        <v>41</v>
      </c>
      <c r="D233">
        <v>16</v>
      </c>
      <c r="E233">
        <v>167</v>
      </c>
      <c r="F233">
        <v>3498829</v>
      </c>
      <c r="G233">
        <v>6.3</v>
      </c>
      <c r="H233">
        <v>0.28000000000000003</v>
      </c>
      <c r="I233">
        <v>-40003</v>
      </c>
      <c r="J233">
        <v>646775</v>
      </c>
      <c r="K233">
        <v>1542</v>
      </c>
      <c r="L233">
        <v>55</v>
      </c>
      <c r="M233">
        <v>94</v>
      </c>
      <c r="N233">
        <v>6203</v>
      </c>
      <c r="O233">
        <v>2476495</v>
      </c>
      <c r="P233">
        <v>64</v>
      </c>
      <c r="Q233" t="s">
        <v>22</v>
      </c>
      <c r="R233">
        <v>59</v>
      </c>
      <c r="S233" t="s">
        <v>23</v>
      </c>
    </row>
    <row r="234" spans="1:19">
      <c r="A234" t="s">
        <v>497</v>
      </c>
      <c r="B234" t="s">
        <v>498</v>
      </c>
      <c r="C234" t="s">
        <v>110</v>
      </c>
      <c r="D234">
        <v>10</v>
      </c>
      <c r="E234">
        <v>119</v>
      </c>
      <c r="F234">
        <v>1281175</v>
      </c>
      <c r="G234">
        <v>9.9600000000000009</v>
      </c>
      <c r="H234">
        <v>0.85</v>
      </c>
      <c r="I234">
        <v>639697</v>
      </c>
      <c r="J234">
        <v>962888</v>
      </c>
      <c r="K234">
        <v>115</v>
      </c>
      <c r="L234">
        <v>45</v>
      </c>
      <c r="M234">
        <v>86</v>
      </c>
      <c r="N234">
        <v>3672</v>
      </c>
      <c r="O234">
        <v>1090389</v>
      </c>
      <c r="P234">
        <v>76</v>
      </c>
      <c r="Q234" t="s">
        <v>22</v>
      </c>
      <c r="R234">
        <v>55</v>
      </c>
      <c r="S234" t="s">
        <v>23</v>
      </c>
    </row>
    <row r="235" spans="1:19">
      <c r="A235" t="s">
        <v>499</v>
      </c>
      <c r="B235" t="s">
        <v>500</v>
      </c>
      <c r="C235" t="s">
        <v>41</v>
      </c>
      <c r="D235">
        <v>18</v>
      </c>
      <c r="E235">
        <v>166</v>
      </c>
      <c r="F235">
        <v>4912404</v>
      </c>
      <c r="G235">
        <v>24.73</v>
      </c>
      <c r="H235">
        <v>0.19</v>
      </c>
      <c r="I235">
        <v>581514</v>
      </c>
      <c r="J235">
        <v>702083</v>
      </c>
      <c r="K235">
        <v>1059</v>
      </c>
      <c r="L235">
        <v>69</v>
      </c>
      <c r="M235">
        <v>69</v>
      </c>
      <c r="N235">
        <v>6565</v>
      </c>
      <c r="O235">
        <v>3525029</v>
      </c>
      <c r="P235">
        <v>93</v>
      </c>
      <c r="Q235" t="s">
        <v>22</v>
      </c>
      <c r="R235">
        <v>86</v>
      </c>
      <c r="S235" t="s">
        <v>137</v>
      </c>
    </row>
    <row r="236" spans="1:19">
      <c r="A236" t="s">
        <v>501</v>
      </c>
      <c r="B236" t="s">
        <v>502</v>
      </c>
      <c r="C236" t="s">
        <v>64</v>
      </c>
      <c r="D236">
        <v>16</v>
      </c>
      <c r="E236">
        <v>186</v>
      </c>
      <c r="F236">
        <v>3345048</v>
      </c>
      <c r="G236">
        <v>9.64</v>
      </c>
      <c r="H236">
        <v>0.97</v>
      </c>
      <c r="I236">
        <v>180273</v>
      </c>
      <c r="J236">
        <v>614889</v>
      </c>
      <c r="K236">
        <v>1364</v>
      </c>
      <c r="L236">
        <v>49</v>
      </c>
      <c r="M236">
        <v>74</v>
      </c>
      <c r="N236">
        <v>4879</v>
      </c>
      <c r="O236">
        <v>2896038</v>
      </c>
      <c r="P236">
        <v>65</v>
      </c>
      <c r="Q236" t="s">
        <v>22</v>
      </c>
      <c r="R236">
        <v>49</v>
      </c>
      <c r="S236" t="s">
        <v>23</v>
      </c>
    </row>
    <row r="237" spans="1:19">
      <c r="A237" t="s">
        <v>503</v>
      </c>
      <c r="B237" t="s">
        <v>504</v>
      </c>
      <c r="C237" t="s">
        <v>64</v>
      </c>
      <c r="D237">
        <v>19</v>
      </c>
      <c r="E237">
        <v>186</v>
      </c>
      <c r="F237">
        <v>2097594</v>
      </c>
      <c r="G237">
        <v>2.95</v>
      </c>
      <c r="H237">
        <v>0.56999999999999995</v>
      </c>
      <c r="I237">
        <v>622802</v>
      </c>
      <c r="J237">
        <v>575368</v>
      </c>
      <c r="K237">
        <v>1482</v>
      </c>
      <c r="L237">
        <v>53</v>
      </c>
      <c r="M237">
        <v>82</v>
      </c>
      <c r="N237">
        <v>718</v>
      </c>
      <c r="O237">
        <v>1598931</v>
      </c>
      <c r="P237">
        <v>84</v>
      </c>
      <c r="Q237" t="s">
        <v>22</v>
      </c>
      <c r="R237">
        <v>56</v>
      </c>
      <c r="S237" t="s">
        <v>23</v>
      </c>
    </row>
    <row r="238" spans="1:19">
      <c r="A238" t="s">
        <v>505</v>
      </c>
      <c r="B238" t="s">
        <v>506</v>
      </c>
      <c r="C238" t="s">
        <v>31</v>
      </c>
      <c r="D238">
        <v>20</v>
      </c>
      <c r="E238">
        <v>21</v>
      </c>
      <c r="F238">
        <v>550085</v>
      </c>
      <c r="G238">
        <v>2.78</v>
      </c>
      <c r="H238">
        <v>0.62</v>
      </c>
      <c r="I238">
        <v>137204</v>
      </c>
      <c r="J238">
        <v>591050</v>
      </c>
      <c r="K238">
        <v>930</v>
      </c>
      <c r="L238">
        <v>78</v>
      </c>
      <c r="M238">
        <v>95</v>
      </c>
      <c r="N238">
        <v>4620</v>
      </c>
      <c r="O238">
        <v>310708</v>
      </c>
      <c r="P238">
        <v>70</v>
      </c>
      <c r="Q238" t="s">
        <v>27</v>
      </c>
      <c r="R238">
        <v>51</v>
      </c>
      <c r="S238" t="s">
        <v>23</v>
      </c>
    </row>
    <row r="239" spans="1:19">
      <c r="A239" t="s">
        <v>507</v>
      </c>
      <c r="B239" t="s">
        <v>508</v>
      </c>
      <c r="C239" t="s">
        <v>55</v>
      </c>
      <c r="D239">
        <v>14</v>
      </c>
      <c r="E239">
        <v>137</v>
      </c>
      <c r="F239">
        <v>1990886</v>
      </c>
      <c r="G239">
        <v>17.12</v>
      </c>
      <c r="H239">
        <v>0.95</v>
      </c>
      <c r="I239">
        <v>406309</v>
      </c>
      <c r="J239">
        <v>996883</v>
      </c>
      <c r="K239">
        <v>144</v>
      </c>
      <c r="L239">
        <v>90</v>
      </c>
      <c r="M239">
        <v>80</v>
      </c>
      <c r="N239">
        <v>3455</v>
      </c>
      <c r="O239">
        <v>1039189</v>
      </c>
      <c r="P239">
        <v>73</v>
      </c>
      <c r="Q239" t="s">
        <v>22</v>
      </c>
      <c r="R239">
        <v>58</v>
      </c>
      <c r="S239" t="s">
        <v>23</v>
      </c>
    </row>
    <row r="240" spans="1:19">
      <c r="A240" t="s">
        <v>509</v>
      </c>
      <c r="B240" t="s">
        <v>510</v>
      </c>
      <c r="C240" t="s">
        <v>31</v>
      </c>
      <c r="D240">
        <v>4</v>
      </c>
      <c r="E240">
        <v>70</v>
      </c>
      <c r="F240">
        <v>3401451</v>
      </c>
      <c r="G240">
        <v>15.25</v>
      </c>
      <c r="H240">
        <v>0.36</v>
      </c>
      <c r="I240">
        <v>706616</v>
      </c>
      <c r="J240">
        <v>991943</v>
      </c>
      <c r="K240">
        <v>1085</v>
      </c>
      <c r="L240">
        <v>67</v>
      </c>
      <c r="M240">
        <v>65</v>
      </c>
      <c r="N240">
        <v>7007</v>
      </c>
      <c r="O240">
        <v>1816225</v>
      </c>
      <c r="P240">
        <v>79</v>
      </c>
      <c r="Q240" t="s">
        <v>27</v>
      </c>
      <c r="R240">
        <v>70</v>
      </c>
      <c r="S240" t="s">
        <v>28</v>
      </c>
    </row>
    <row r="241" spans="1:19">
      <c r="A241" t="s">
        <v>511</v>
      </c>
      <c r="B241" t="s">
        <v>512</v>
      </c>
      <c r="C241" t="s">
        <v>38</v>
      </c>
      <c r="D241">
        <v>14</v>
      </c>
      <c r="E241">
        <v>224</v>
      </c>
      <c r="F241">
        <v>3035767</v>
      </c>
      <c r="G241">
        <v>4.25</v>
      </c>
      <c r="H241">
        <v>0.16</v>
      </c>
      <c r="I241">
        <v>974703</v>
      </c>
      <c r="J241">
        <v>512361</v>
      </c>
      <c r="K241">
        <v>473</v>
      </c>
      <c r="L241">
        <v>66</v>
      </c>
      <c r="M241">
        <v>82</v>
      </c>
      <c r="N241">
        <v>5249</v>
      </c>
      <c r="O241">
        <v>1967704</v>
      </c>
      <c r="P241">
        <v>97</v>
      </c>
      <c r="Q241" t="s">
        <v>27</v>
      </c>
      <c r="R241">
        <v>70</v>
      </c>
      <c r="S241" t="s">
        <v>28</v>
      </c>
    </row>
    <row r="242" spans="1:19">
      <c r="A242" t="s">
        <v>513</v>
      </c>
      <c r="B242" t="s">
        <v>514</v>
      </c>
      <c r="C242" t="s">
        <v>64</v>
      </c>
      <c r="D242">
        <v>12</v>
      </c>
      <c r="E242">
        <v>211</v>
      </c>
      <c r="F242">
        <v>631667</v>
      </c>
      <c r="G242">
        <v>8.7200000000000006</v>
      </c>
      <c r="H242">
        <v>0.33</v>
      </c>
      <c r="I242">
        <v>899194</v>
      </c>
      <c r="J242">
        <v>389156</v>
      </c>
      <c r="K242">
        <v>239</v>
      </c>
      <c r="L242">
        <v>90</v>
      </c>
      <c r="M242">
        <v>91</v>
      </c>
      <c r="N242">
        <v>3862</v>
      </c>
      <c r="O242">
        <v>474373</v>
      </c>
      <c r="P242">
        <v>92</v>
      </c>
      <c r="Q242" t="s">
        <v>22</v>
      </c>
      <c r="R242">
        <v>69</v>
      </c>
      <c r="S242" t="s">
        <v>28</v>
      </c>
    </row>
    <row r="243" spans="1:19">
      <c r="A243" t="s">
        <v>515</v>
      </c>
      <c r="B243" t="s">
        <v>516</v>
      </c>
      <c r="C243" t="s">
        <v>38</v>
      </c>
      <c r="D243">
        <v>11</v>
      </c>
      <c r="E243">
        <v>165</v>
      </c>
      <c r="F243">
        <v>4115766</v>
      </c>
      <c r="G243">
        <v>19.39</v>
      </c>
      <c r="H243">
        <v>0.21</v>
      </c>
      <c r="I243">
        <v>668818</v>
      </c>
      <c r="J243">
        <v>154114</v>
      </c>
      <c r="K243">
        <v>1234</v>
      </c>
      <c r="L243">
        <v>72</v>
      </c>
      <c r="M243">
        <v>74</v>
      </c>
      <c r="N243">
        <v>3636</v>
      </c>
      <c r="O243">
        <v>3824550</v>
      </c>
      <c r="P243">
        <v>76</v>
      </c>
      <c r="Q243" t="s">
        <v>22</v>
      </c>
      <c r="R243">
        <v>76</v>
      </c>
      <c r="S243" t="s">
        <v>28</v>
      </c>
    </row>
    <row r="244" spans="1:19">
      <c r="A244" t="s">
        <v>517</v>
      </c>
      <c r="B244" t="s">
        <v>518</v>
      </c>
      <c r="C244" t="s">
        <v>55</v>
      </c>
      <c r="D244">
        <v>15</v>
      </c>
      <c r="E244">
        <v>79</v>
      </c>
      <c r="F244">
        <v>1915892</v>
      </c>
      <c r="G244">
        <v>5.78</v>
      </c>
      <c r="H244">
        <v>0.34</v>
      </c>
      <c r="I244">
        <v>731149</v>
      </c>
      <c r="J244">
        <v>357898</v>
      </c>
      <c r="K244">
        <v>872</v>
      </c>
      <c r="L244">
        <v>65</v>
      </c>
      <c r="M244">
        <v>61</v>
      </c>
      <c r="N244">
        <v>3302</v>
      </c>
      <c r="O244">
        <v>1097899</v>
      </c>
      <c r="P244">
        <v>76</v>
      </c>
      <c r="Q244" t="s">
        <v>22</v>
      </c>
      <c r="R244">
        <v>61</v>
      </c>
      <c r="S244" t="s">
        <v>28</v>
      </c>
    </row>
    <row r="245" spans="1:19">
      <c r="A245" t="s">
        <v>519</v>
      </c>
      <c r="B245" t="s">
        <v>520</v>
      </c>
      <c r="C245" t="s">
        <v>64</v>
      </c>
      <c r="D245">
        <v>17</v>
      </c>
      <c r="E245">
        <v>24</v>
      </c>
      <c r="F245">
        <v>2833681</v>
      </c>
      <c r="G245">
        <v>3.85</v>
      </c>
      <c r="H245">
        <v>0.45</v>
      </c>
      <c r="I245">
        <v>432747</v>
      </c>
      <c r="J245">
        <v>244948</v>
      </c>
      <c r="K245">
        <v>1764</v>
      </c>
      <c r="L245">
        <v>56</v>
      </c>
      <c r="M245">
        <v>85</v>
      </c>
      <c r="N245">
        <v>1124</v>
      </c>
      <c r="O245">
        <v>2382202</v>
      </c>
      <c r="P245">
        <v>73</v>
      </c>
      <c r="Q245" t="s">
        <v>27</v>
      </c>
      <c r="R245">
        <v>56</v>
      </c>
      <c r="S245" t="s">
        <v>23</v>
      </c>
    </row>
    <row r="246" spans="1:19">
      <c r="A246" t="s">
        <v>521</v>
      </c>
      <c r="B246" t="s">
        <v>522</v>
      </c>
      <c r="C246" t="s">
        <v>38</v>
      </c>
      <c r="D246">
        <v>9</v>
      </c>
      <c r="E246">
        <v>174</v>
      </c>
      <c r="F246">
        <v>1596014</v>
      </c>
      <c r="G246">
        <v>21.42</v>
      </c>
      <c r="H246">
        <v>0.19</v>
      </c>
      <c r="I246">
        <v>54189</v>
      </c>
      <c r="J246">
        <v>230033</v>
      </c>
      <c r="K246">
        <v>1876</v>
      </c>
      <c r="L246">
        <v>75</v>
      </c>
      <c r="M246">
        <v>98</v>
      </c>
      <c r="N246">
        <v>4635</v>
      </c>
      <c r="O246">
        <v>1024988</v>
      </c>
      <c r="P246">
        <v>84</v>
      </c>
      <c r="Q246" t="s">
        <v>27</v>
      </c>
      <c r="R246">
        <v>81</v>
      </c>
      <c r="S246" t="s">
        <v>137</v>
      </c>
    </row>
    <row r="247" spans="1:19">
      <c r="A247" t="s">
        <v>523</v>
      </c>
      <c r="B247" t="s">
        <v>524</v>
      </c>
      <c r="C247" t="s">
        <v>110</v>
      </c>
      <c r="D247">
        <v>20</v>
      </c>
      <c r="E247">
        <v>157</v>
      </c>
      <c r="F247">
        <v>2479447</v>
      </c>
      <c r="G247">
        <v>20.2</v>
      </c>
      <c r="H247">
        <v>0.68</v>
      </c>
      <c r="I247">
        <v>364645</v>
      </c>
      <c r="J247">
        <v>386662</v>
      </c>
      <c r="K247">
        <v>1758</v>
      </c>
      <c r="L247">
        <v>52</v>
      </c>
      <c r="M247">
        <v>86</v>
      </c>
      <c r="N247">
        <v>3546</v>
      </c>
      <c r="O247">
        <v>1271238</v>
      </c>
      <c r="P247">
        <v>99</v>
      </c>
      <c r="Q247" t="s">
        <v>27</v>
      </c>
      <c r="R247">
        <v>74</v>
      </c>
      <c r="S247" t="s">
        <v>28</v>
      </c>
    </row>
    <row r="248" spans="1:19">
      <c r="A248" t="s">
        <v>525</v>
      </c>
      <c r="B248" t="s">
        <v>526</v>
      </c>
      <c r="C248" t="s">
        <v>31</v>
      </c>
      <c r="D248">
        <v>2</v>
      </c>
      <c r="E248">
        <v>56</v>
      </c>
      <c r="F248">
        <v>3990743</v>
      </c>
      <c r="G248">
        <v>5.9</v>
      </c>
      <c r="H248">
        <v>1.06</v>
      </c>
      <c r="I248">
        <v>-14668</v>
      </c>
      <c r="J248">
        <v>591368</v>
      </c>
      <c r="K248">
        <v>1567</v>
      </c>
      <c r="L248">
        <v>95</v>
      </c>
      <c r="M248">
        <v>92</v>
      </c>
      <c r="N248">
        <v>6166</v>
      </c>
      <c r="O248">
        <v>3581473</v>
      </c>
      <c r="P248">
        <v>68</v>
      </c>
      <c r="Q248" t="s">
        <v>27</v>
      </c>
      <c r="R248">
        <v>45</v>
      </c>
      <c r="S248" t="s">
        <v>23</v>
      </c>
    </row>
    <row r="249" spans="1:19">
      <c r="A249" t="s">
        <v>527</v>
      </c>
      <c r="B249" t="s">
        <v>528</v>
      </c>
      <c r="C249" t="s">
        <v>75</v>
      </c>
      <c r="D249">
        <v>18</v>
      </c>
      <c r="E249">
        <v>185</v>
      </c>
      <c r="F249">
        <v>3459651</v>
      </c>
      <c r="G249">
        <v>19.2</v>
      </c>
      <c r="H249">
        <v>0.48</v>
      </c>
      <c r="I249">
        <v>997678</v>
      </c>
      <c r="J249">
        <v>501976</v>
      </c>
      <c r="K249">
        <v>1912</v>
      </c>
      <c r="L249">
        <v>52</v>
      </c>
      <c r="M249">
        <v>78</v>
      </c>
      <c r="N249">
        <v>710</v>
      </c>
      <c r="O249">
        <v>2316247</v>
      </c>
      <c r="P249">
        <v>64</v>
      </c>
      <c r="Q249" t="s">
        <v>22</v>
      </c>
      <c r="R249">
        <v>67</v>
      </c>
      <c r="S249" t="s">
        <v>28</v>
      </c>
    </row>
    <row r="250" spans="1:19">
      <c r="A250" t="s">
        <v>529</v>
      </c>
      <c r="B250" t="s">
        <v>530</v>
      </c>
      <c r="C250" t="s">
        <v>110</v>
      </c>
      <c r="D250">
        <v>17</v>
      </c>
      <c r="E250">
        <v>88</v>
      </c>
      <c r="F250">
        <v>3023695</v>
      </c>
      <c r="G250">
        <v>16.39</v>
      </c>
      <c r="H250">
        <v>0.98</v>
      </c>
      <c r="I250">
        <v>546621</v>
      </c>
      <c r="J250">
        <v>377845</v>
      </c>
      <c r="K250">
        <v>1978</v>
      </c>
      <c r="L250">
        <v>93</v>
      </c>
      <c r="M250">
        <v>93</v>
      </c>
      <c r="N250">
        <v>6429</v>
      </c>
      <c r="O250">
        <v>1647686</v>
      </c>
      <c r="P250">
        <v>100</v>
      </c>
      <c r="Q250" t="s">
        <v>27</v>
      </c>
      <c r="R250">
        <v>65</v>
      </c>
      <c r="S250" t="s">
        <v>28</v>
      </c>
    </row>
    <row r="251" spans="1:19">
      <c r="A251" t="s">
        <v>531</v>
      </c>
      <c r="B251" t="s">
        <v>532</v>
      </c>
      <c r="C251" t="s">
        <v>38</v>
      </c>
      <c r="D251">
        <v>17</v>
      </c>
      <c r="E251">
        <v>70</v>
      </c>
      <c r="F251">
        <v>2905144</v>
      </c>
      <c r="G251">
        <v>13.57</v>
      </c>
      <c r="H251">
        <v>0.4</v>
      </c>
      <c r="I251">
        <v>504261</v>
      </c>
      <c r="J251">
        <v>956393</v>
      </c>
      <c r="K251">
        <v>1406</v>
      </c>
      <c r="L251">
        <v>71</v>
      </c>
      <c r="M251">
        <v>61</v>
      </c>
      <c r="N251">
        <v>7899</v>
      </c>
      <c r="O251">
        <v>1743106</v>
      </c>
      <c r="P251">
        <v>93</v>
      </c>
      <c r="Q251" t="s">
        <v>22</v>
      </c>
      <c r="R251">
        <v>72</v>
      </c>
      <c r="S251" t="s">
        <v>28</v>
      </c>
    </row>
    <row r="252" spans="1:19">
      <c r="A252" t="s">
        <v>533</v>
      </c>
      <c r="B252" t="s">
        <v>534</v>
      </c>
      <c r="C252" t="s">
        <v>21</v>
      </c>
      <c r="D252">
        <v>13</v>
      </c>
      <c r="E252">
        <v>99</v>
      </c>
      <c r="F252">
        <v>4523684</v>
      </c>
      <c r="G252">
        <v>13.25</v>
      </c>
      <c r="H252">
        <v>0.17</v>
      </c>
      <c r="I252">
        <v>320405</v>
      </c>
      <c r="J252">
        <v>981132</v>
      </c>
      <c r="K252">
        <v>135</v>
      </c>
      <c r="L252">
        <v>88</v>
      </c>
      <c r="M252">
        <v>70</v>
      </c>
      <c r="N252">
        <v>7586</v>
      </c>
      <c r="O252">
        <v>3027242</v>
      </c>
      <c r="P252">
        <v>60</v>
      </c>
      <c r="Q252" t="s">
        <v>27</v>
      </c>
      <c r="R252">
        <v>67</v>
      </c>
      <c r="S252" t="s">
        <v>28</v>
      </c>
    </row>
    <row r="253" spans="1:19">
      <c r="A253" t="s">
        <v>535</v>
      </c>
      <c r="B253" t="s">
        <v>536</v>
      </c>
      <c r="C253" t="s">
        <v>38</v>
      </c>
      <c r="D253">
        <v>7</v>
      </c>
      <c r="E253">
        <v>76</v>
      </c>
      <c r="F253">
        <v>2246170</v>
      </c>
      <c r="G253">
        <v>11.83</v>
      </c>
      <c r="H253">
        <v>0.7</v>
      </c>
      <c r="I253">
        <v>515527</v>
      </c>
      <c r="J253">
        <v>739053</v>
      </c>
      <c r="K253">
        <v>1766</v>
      </c>
      <c r="L253">
        <v>85</v>
      </c>
      <c r="M253">
        <v>82</v>
      </c>
      <c r="N253">
        <v>1081</v>
      </c>
      <c r="O253">
        <v>1831780</v>
      </c>
      <c r="P253">
        <v>94</v>
      </c>
      <c r="Q253" t="s">
        <v>22</v>
      </c>
      <c r="R253">
        <v>65</v>
      </c>
      <c r="S253" t="s">
        <v>28</v>
      </c>
    </row>
    <row r="254" spans="1:19">
      <c r="A254" t="s">
        <v>537</v>
      </c>
      <c r="B254" t="s">
        <v>538</v>
      </c>
      <c r="C254" t="s">
        <v>31</v>
      </c>
      <c r="D254">
        <v>8</v>
      </c>
      <c r="E254">
        <v>184</v>
      </c>
      <c r="F254">
        <v>4066820</v>
      </c>
      <c r="G254">
        <v>18.059999999999999</v>
      </c>
      <c r="H254">
        <v>0.17</v>
      </c>
      <c r="I254">
        <v>851736</v>
      </c>
      <c r="J254">
        <v>117196</v>
      </c>
      <c r="K254">
        <v>608</v>
      </c>
      <c r="L254">
        <v>88</v>
      </c>
      <c r="M254">
        <v>64</v>
      </c>
      <c r="N254">
        <v>7933</v>
      </c>
      <c r="O254">
        <v>2084213</v>
      </c>
      <c r="P254">
        <v>82</v>
      </c>
      <c r="Q254" t="s">
        <v>27</v>
      </c>
      <c r="R254">
        <v>77</v>
      </c>
      <c r="S254" t="s">
        <v>28</v>
      </c>
    </row>
    <row r="255" spans="1:19">
      <c r="A255" t="s">
        <v>539</v>
      </c>
      <c r="B255" t="s">
        <v>540</v>
      </c>
      <c r="C255" t="s">
        <v>44</v>
      </c>
      <c r="D255">
        <v>17</v>
      </c>
      <c r="E255">
        <v>73</v>
      </c>
      <c r="F255">
        <v>1500863</v>
      </c>
      <c r="G255">
        <v>18.510000000000002</v>
      </c>
      <c r="H255">
        <v>0.56999999999999995</v>
      </c>
      <c r="I255">
        <v>701650</v>
      </c>
      <c r="J255">
        <v>262603</v>
      </c>
      <c r="K255">
        <v>1094</v>
      </c>
      <c r="L255">
        <v>69</v>
      </c>
      <c r="M255">
        <v>98</v>
      </c>
      <c r="N255">
        <v>1499</v>
      </c>
      <c r="O255">
        <v>1367787</v>
      </c>
      <c r="P255">
        <v>90</v>
      </c>
      <c r="Q255" t="s">
        <v>27</v>
      </c>
      <c r="R255">
        <v>72</v>
      </c>
      <c r="S255" t="s">
        <v>28</v>
      </c>
    </row>
    <row r="256" spans="1:19">
      <c r="A256" t="s">
        <v>541</v>
      </c>
      <c r="B256" t="s">
        <v>542</v>
      </c>
      <c r="C256" t="s">
        <v>41</v>
      </c>
      <c r="D256">
        <v>13</v>
      </c>
      <c r="E256">
        <v>124</v>
      </c>
      <c r="F256">
        <v>3332750</v>
      </c>
      <c r="G256">
        <v>24.72</v>
      </c>
      <c r="H256">
        <v>0.94</v>
      </c>
      <c r="I256">
        <v>650892</v>
      </c>
      <c r="J256">
        <v>862758</v>
      </c>
      <c r="K256">
        <v>637</v>
      </c>
      <c r="L256">
        <v>72</v>
      </c>
      <c r="M256">
        <v>92</v>
      </c>
      <c r="N256">
        <v>3704</v>
      </c>
      <c r="O256">
        <v>2055689</v>
      </c>
      <c r="P256">
        <v>69</v>
      </c>
      <c r="Q256" t="s">
        <v>22</v>
      </c>
      <c r="R256">
        <v>64</v>
      </c>
      <c r="S256" t="s">
        <v>28</v>
      </c>
    </row>
    <row r="257" spans="1:19">
      <c r="A257" t="s">
        <v>543</v>
      </c>
      <c r="B257" t="s">
        <v>215</v>
      </c>
      <c r="C257" t="s">
        <v>44</v>
      </c>
      <c r="D257">
        <v>4</v>
      </c>
      <c r="E257">
        <v>227</v>
      </c>
      <c r="F257">
        <v>2124401</v>
      </c>
      <c r="G257">
        <v>16.29</v>
      </c>
      <c r="H257">
        <v>0.3</v>
      </c>
      <c r="I257">
        <v>417871</v>
      </c>
      <c r="J257">
        <v>544753</v>
      </c>
      <c r="K257">
        <v>1010</v>
      </c>
      <c r="L257">
        <v>64</v>
      </c>
      <c r="M257">
        <v>63</v>
      </c>
      <c r="N257">
        <v>7839</v>
      </c>
      <c r="O257">
        <v>1301660</v>
      </c>
      <c r="P257">
        <v>61</v>
      </c>
      <c r="Q257" t="s">
        <v>27</v>
      </c>
      <c r="R257">
        <v>67</v>
      </c>
      <c r="S257" t="s">
        <v>28</v>
      </c>
    </row>
    <row r="258" spans="1:19">
      <c r="A258" t="s">
        <v>544</v>
      </c>
      <c r="B258" t="s">
        <v>545</v>
      </c>
      <c r="C258" t="s">
        <v>110</v>
      </c>
      <c r="D258">
        <v>18</v>
      </c>
      <c r="E258">
        <v>54</v>
      </c>
      <c r="F258">
        <v>2350302</v>
      </c>
      <c r="G258">
        <v>6.3</v>
      </c>
      <c r="H258">
        <v>0.71</v>
      </c>
      <c r="I258">
        <v>464018</v>
      </c>
      <c r="J258">
        <v>141582</v>
      </c>
      <c r="K258">
        <v>312</v>
      </c>
      <c r="L258">
        <v>90</v>
      </c>
      <c r="M258">
        <v>87</v>
      </c>
      <c r="N258">
        <v>4461</v>
      </c>
      <c r="O258">
        <v>2000895</v>
      </c>
      <c r="P258">
        <v>63</v>
      </c>
      <c r="Q258" t="s">
        <v>27</v>
      </c>
      <c r="R258">
        <v>50</v>
      </c>
      <c r="S258" t="s">
        <v>23</v>
      </c>
    </row>
    <row r="259" spans="1:19">
      <c r="A259" t="s">
        <v>546</v>
      </c>
      <c r="B259" t="s">
        <v>547</v>
      </c>
      <c r="C259" t="s">
        <v>110</v>
      </c>
      <c r="D259">
        <v>12</v>
      </c>
      <c r="E259">
        <v>198</v>
      </c>
      <c r="F259">
        <v>2933995</v>
      </c>
      <c r="G259">
        <v>9.4</v>
      </c>
      <c r="H259">
        <v>0.25</v>
      </c>
      <c r="I259">
        <v>13052</v>
      </c>
      <c r="J259">
        <v>785262</v>
      </c>
      <c r="K259">
        <v>1838</v>
      </c>
      <c r="L259">
        <v>77</v>
      </c>
      <c r="M259">
        <v>76</v>
      </c>
      <c r="N259">
        <v>3501</v>
      </c>
      <c r="O259">
        <v>1826127</v>
      </c>
      <c r="P259">
        <v>84</v>
      </c>
      <c r="Q259" t="s">
        <v>27</v>
      </c>
      <c r="R259">
        <v>69</v>
      </c>
      <c r="S259" t="s">
        <v>28</v>
      </c>
    </row>
    <row r="260" spans="1:19">
      <c r="A260" t="s">
        <v>548</v>
      </c>
      <c r="B260" t="s">
        <v>549</v>
      </c>
      <c r="C260" t="s">
        <v>26</v>
      </c>
      <c r="D260">
        <v>10</v>
      </c>
      <c r="E260">
        <v>183</v>
      </c>
      <c r="F260">
        <v>601138</v>
      </c>
      <c r="G260">
        <v>3.79</v>
      </c>
      <c r="H260">
        <v>1.1599999999999999</v>
      </c>
      <c r="I260">
        <v>681714</v>
      </c>
      <c r="J260">
        <v>742288</v>
      </c>
      <c r="K260">
        <v>1249</v>
      </c>
      <c r="L260">
        <v>61</v>
      </c>
      <c r="M260">
        <v>86</v>
      </c>
      <c r="N260">
        <v>7070</v>
      </c>
      <c r="O260">
        <v>324633</v>
      </c>
      <c r="P260">
        <v>93</v>
      </c>
      <c r="Q260" t="s">
        <v>27</v>
      </c>
      <c r="R260">
        <v>48</v>
      </c>
      <c r="S260" t="s">
        <v>23</v>
      </c>
    </row>
    <row r="261" spans="1:19">
      <c r="A261" t="s">
        <v>550</v>
      </c>
      <c r="B261" t="s">
        <v>551</v>
      </c>
      <c r="C261" t="s">
        <v>26</v>
      </c>
      <c r="D261">
        <v>9</v>
      </c>
      <c r="E261">
        <v>82</v>
      </c>
      <c r="F261">
        <v>2896605</v>
      </c>
      <c r="G261">
        <v>17.8</v>
      </c>
      <c r="H261">
        <v>0.83</v>
      </c>
      <c r="I261">
        <v>157140</v>
      </c>
      <c r="J261">
        <v>137255</v>
      </c>
      <c r="K261">
        <v>1171</v>
      </c>
      <c r="L261">
        <v>94</v>
      </c>
      <c r="M261">
        <v>69</v>
      </c>
      <c r="N261">
        <v>6674</v>
      </c>
      <c r="O261">
        <v>1633661</v>
      </c>
      <c r="P261">
        <v>98</v>
      </c>
      <c r="Q261" t="s">
        <v>22</v>
      </c>
      <c r="R261">
        <v>69</v>
      </c>
      <c r="S261" t="s">
        <v>28</v>
      </c>
    </row>
    <row r="262" spans="1:19">
      <c r="A262" t="s">
        <v>552</v>
      </c>
      <c r="B262" t="s">
        <v>553</v>
      </c>
      <c r="C262" t="s">
        <v>38</v>
      </c>
      <c r="D262">
        <v>11</v>
      </c>
      <c r="E262">
        <v>56</v>
      </c>
      <c r="F262">
        <v>3267279</v>
      </c>
      <c r="G262">
        <v>18.940000000000001</v>
      </c>
      <c r="H262">
        <v>0.43</v>
      </c>
      <c r="I262">
        <v>28453</v>
      </c>
      <c r="J262">
        <v>929720</v>
      </c>
      <c r="K262">
        <v>1300</v>
      </c>
      <c r="L262">
        <v>80</v>
      </c>
      <c r="M262">
        <v>98</v>
      </c>
      <c r="N262">
        <v>986</v>
      </c>
      <c r="O262">
        <v>1814252</v>
      </c>
      <c r="P262">
        <v>90</v>
      </c>
      <c r="Q262" t="s">
        <v>27</v>
      </c>
      <c r="R262">
        <v>75</v>
      </c>
      <c r="S262" t="s">
        <v>28</v>
      </c>
    </row>
    <row r="263" spans="1:19">
      <c r="A263" t="s">
        <v>554</v>
      </c>
      <c r="B263" t="s">
        <v>555</v>
      </c>
      <c r="C263" t="s">
        <v>31</v>
      </c>
      <c r="D263">
        <v>4</v>
      </c>
      <c r="E263">
        <v>220</v>
      </c>
      <c r="F263">
        <v>3920822</v>
      </c>
      <c r="G263">
        <v>9.2200000000000006</v>
      </c>
      <c r="H263">
        <v>0.25</v>
      </c>
      <c r="I263">
        <v>940257</v>
      </c>
      <c r="J263">
        <v>285956</v>
      </c>
      <c r="K263">
        <v>960</v>
      </c>
      <c r="L263">
        <v>47</v>
      </c>
      <c r="M263">
        <v>71</v>
      </c>
      <c r="N263">
        <v>7499</v>
      </c>
      <c r="O263">
        <v>1982928</v>
      </c>
      <c r="P263">
        <v>86</v>
      </c>
      <c r="Q263" t="s">
        <v>22</v>
      </c>
      <c r="R263">
        <v>69</v>
      </c>
      <c r="S263" t="s">
        <v>28</v>
      </c>
    </row>
    <row r="264" spans="1:19">
      <c r="A264" t="s">
        <v>556</v>
      </c>
      <c r="B264" t="s">
        <v>557</v>
      </c>
      <c r="C264" t="s">
        <v>26</v>
      </c>
      <c r="D264">
        <v>7</v>
      </c>
      <c r="E264">
        <v>94</v>
      </c>
      <c r="F264">
        <v>3558413</v>
      </c>
      <c r="G264">
        <v>16.510000000000002</v>
      </c>
      <c r="H264">
        <v>1.02</v>
      </c>
      <c r="I264">
        <v>424926</v>
      </c>
      <c r="J264">
        <v>453846</v>
      </c>
      <c r="K264">
        <v>622</v>
      </c>
      <c r="L264">
        <v>77</v>
      </c>
      <c r="M264">
        <v>60</v>
      </c>
      <c r="N264">
        <v>6220</v>
      </c>
      <c r="O264">
        <v>2305715</v>
      </c>
      <c r="P264">
        <v>65</v>
      </c>
      <c r="Q264" t="s">
        <v>27</v>
      </c>
      <c r="R264">
        <v>54</v>
      </c>
      <c r="S264" t="s">
        <v>23</v>
      </c>
    </row>
    <row r="265" spans="1:19">
      <c r="A265" t="s">
        <v>558</v>
      </c>
      <c r="B265" t="s">
        <v>559</v>
      </c>
      <c r="C265" t="s">
        <v>110</v>
      </c>
      <c r="D265">
        <v>5</v>
      </c>
      <c r="E265">
        <v>136</v>
      </c>
      <c r="F265">
        <v>3009377</v>
      </c>
      <c r="G265">
        <v>6.6</v>
      </c>
      <c r="H265">
        <v>1.18</v>
      </c>
      <c r="I265">
        <v>777874</v>
      </c>
      <c r="J265">
        <v>686255</v>
      </c>
      <c r="K265">
        <v>241</v>
      </c>
      <c r="L265">
        <v>54</v>
      </c>
      <c r="M265">
        <v>85</v>
      </c>
      <c r="N265">
        <v>2388</v>
      </c>
      <c r="O265">
        <v>2163647</v>
      </c>
      <c r="P265">
        <v>68</v>
      </c>
      <c r="Q265" t="s">
        <v>22</v>
      </c>
      <c r="R265">
        <v>43</v>
      </c>
      <c r="S265" t="s">
        <v>23</v>
      </c>
    </row>
    <row r="266" spans="1:19">
      <c r="A266" t="s">
        <v>560</v>
      </c>
      <c r="B266" t="s">
        <v>561</v>
      </c>
      <c r="C266" t="s">
        <v>110</v>
      </c>
      <c r="D266">
        <v>11</v>
      </c>
      <c r="E266">
        <v>181</v>
      </c>
      <c r="F266">
        <v>2772954</v>
      </c>
      <c r="G266">
        <v>7.41</v>
      </c>
      <c r="H266">
        <v>0.91</v>
      </c>
      <c r="I266">
        <v>419061</v>
      </c>
      <c r="J266">
        <v>578023</v>
      </c>
      <c r="K266">
        <v>783</v>
      </c>
      <c r="L266">
        <v>92</v>
      </c>
      <c r="M266">
        <v>72</v>
      </c>
      <c r="N266">
        <v>4658</v>
      </c>
      <c r="O266">
        <v>2068055</v>
      </c>
      <c r="P266">
        <v>81</v>
      </c>
      <c r="Q266" t="s">
        <v>27</v>
      </c>
      <c r="R266">
        <v>53</v>
      </c>
      <c r="S266" t="s">
        <v>23</v>
      </c>
    </row>
    <row r="267" spans="1:19">
      <c r="A267" t="s">
        <v>562</v>
      </c>
      <c r="B267" t="s">
        <v>563</v>
      </c>
      <c r="C267" t="s">
        <v>55</v>
      </c>
      <c r="D267">
        <v>6</v>
      </c>
      <c r="E267">
        <v>204</v>
      </c>
      <c r="F267">
        <v>3238439</v>
      </c>
      <c r="G267">
        <v>19.29</v>
      </c>
      <c r="H267">
        <v>0.17</v>
      </c>
      <c r="I267">
        <v>560435</v>
      </c>
      <c r="J267">
        <v>894912</v>
      </c>
      <c r="K267">
        <v>484</v>
      </c>
      <c r="L267">
        <v>93</v>
      </c>
      <c r="M267">
        <v>79</v>
      </c>
      <c r="N267">
        <v>4857</v>
      </c>
      <c r="O267">
        <v>2666493</v>
      </c>
      <c r="P267">
        <v>86</v>
      </c>
      <c r="Q267" t="s">
        <v>27</v>
      </c>
      <c r="R267">
        <v>80</v>
      </c>
      <c r="S267" t="s">
        <v>137</v>
      </c>
    </row>
    <row r="268" spans="1:19">
      <c r="A268" t="s">
        <v>564</v>
      </c>
      <c r="B268" t="s">
        <v>565</v>
      </c>
      <c r="C268" t="s">
        <v>55</v>
      </c>
      <c r="D268">
        <v>19</v>
      </c>
      <c r="E268">
        <v>164</v>
      </c>
      <c r="F268">
        <v>3838048</v>
      </c>
      <c r="G268">
        <v>2.82</v>
      </c>
      <c r="H268">
        <v>0.66</v>
      </c>
      <c r="I268">
        <v>104149</v>
      </c>
      <c r="J268">
        <v>483171</v>
      </c>
      <c r="K268">
        <v>1081</v>
      </c>
      <c r="L268">
        <v>92</v>
      </c>
      <c r="M268">
        <v>62</v>
      </c>
      <c r="N268">
        <v>3973</v>
      </c>
      <c r="O268">
        <v>3614550</v>
      </c>
      <c r="P268">
        <v>87</v>
      </c>
      <c r="Q268" t="s">
        <v>22</v>
      </c>
      <c r="R268">
        <v>55</v>
      </c>
      <c r="S268" t="s">
        <v>23</v>
      </c>
    </row>
    <row r="269" spans="1:19">
      <c r="A269" t="s">
        <v>566</v>
      </c>
      <c r="B269" t="s">
        <v>567</v>
      </c>
      <c r="C269" t="s">
        <v>21</v>
      </c>
      <c r="D269">
        <v>4</v>
      </c>
      <c r="E269">
        <v>178</v>
      </c>
      <c r="F269">
        <v>4535497</v>
      </c>
      <c r="G269">
        <v>17.48</v>
      </c>
      <c r="H269">
        <v>0.95</v>
      </c>
      <c r="I269">
        <v>541716</v>
      </c>
      <c r="J269">
        <v>198621</v>
      </c>
      <c r="K269">
        <v>711</v>
      </c>
      <c r="L269">
        <v>89</v>
      </c>
      <c r="M269">
        <v>68</v>
      </c>
      <c r="N269">
        <v>4363</v>
      </c>
      <c r="O269">
        <v>3896938</v>
      </c>
      <c r="P269">
        <v>96</v>
      </c>
      <c r="Q269" t="s">
        <v>27</v>
      </c>
      <c r="R269">
        <v>66</v>
      </c>
      <c r="S269" t="s">
        <v>28</v>
      </c>
    </row>
    <row r="270" spans="1:19">
      <c r="A270" t="s">
        <v>568</v>
      </c>
      <c r="B270" t="s">
        <v>569</v>
      </c>
      <c r="C270" t="s">
        <v>21</v>
      </c>
      <c r="D270">
        <v>15</v>
      </c>
      <c r="E270">
        <v>40</v>
      </c>
      <c r="F270">
        <v>3348707</v>
      </c>
      <c r="G270">
        <v>8.89</v>
      </c>
      <c r="H270">
        <v>1.1399999999999999</v>
      </c>
      <c r="I270">
        <v>238820</v>
      </c>
      <c r="J270">
        <v>722200</v>
      </c>
      <c r="K270">
        <v>1368</v>
      </c>
      <c r="L270">
        <v>54</v>
      </c>
      <c r="M270">
        <v>87</v>
      </c>
      <c r="N270">
        <v>3804</v>
      </c>
      <c r="O270">
        <v>2343222</v>
      </c>
      <c r="P270">
        <v>87</v>
      </c>
      <c r="Q270" t="s">
        <v>22</v>
      </c>
      <c r="R270">
        <v>51</v>
      </c>
      <c r="S270" t="s">
        <v>23</v>
      </c>
    </row>
    <row r="271" spans="1:19">
      <c r="A271" t="s">
        <v>570</v>
      </c>
      <c r="B271" t="s">
        <v>571</v>
      </c>
      <c r="C271" t="s">
        <v>55</v>
      </c>
      <c r="D271">
        <v>20</v>
      </c>
      <c r="E271">
        <v>191</v>
      </c>
      <c r="F271">
        <v>4305756</v>
      </c>
      <c r="G271">
        <v>9.1300000000000008</v>
      </c>
      <c r="H271">
        <v>0.28000000000000003</v>
      </c>
      <c r="I271">
        <v>89072</v>
      </c>
      <c r="J271">
        <v>421542</v>
      </c>
      <c r="K271">
        <v>1977</v>
      </c>
      <c r="L271">
        <v>54</v>
      </c>
      <c r="M271">
        <v>85</v>
      </c>
      <c r="N271">
        <v>3780</v>
      </c>
      <c r="O271">
        <v>2390152</v>
      </c>
      <c r="P271">
        <v>60</v>
      </c>
      <c r="Q271" t="s">
        <v>22</v>
      </c>
      <c r="R271">
        <v>61</v>
      </c>
      <c r="S271" t="s">
        <v>28</v>
      </c>
    </row>
    <row r="272" spans="1:19">
      <c r="A272" t="s">
        <v>572</v>
      </c>
      <c r="B272" t="s">
        <v>573</v>
      </c>
      <c r="C272" t="s">
        <v>55</v>
      </c>
      <c r="D272">
        <v>9</v>
      </c>
      <c r="E272">
        <v>67</v>
      </c>
      <c r="F272">
        <v>831292</v>
      </c>
      <c r="G272">
        <v>6.55</v>
      </c>
      <c r="H272">
        <v>0.59</v>
      </c>
      <c r="I272">
        <v>-67176</v>
      </c>
      <c r="J272">
        <v>409008</v>
      </c>
      <c r="K272">
        <v>1104</v>
      </c>
      <c r="L272">
        <v>55</v>
      </c>
      <c r="M272">
        <v>97</v>
      </c>
      <c r="N272">
        <v>5811</v>
      </c>
      <c r="O272">
        <v>502116</v>
      </c>
      <c r="P272">
        <v>93</v>
      </c>
      <c r="Q272" t="s">
        <v>22</v>
      </c>
      <c r="R272">
        <v>62</v>
      </c>
      <c r="S272" t="s">
        <v>28</v>
      </c>
    </row>
    <row r="273" spans="1:19">
      <c r="A273" t="s">
        <v>574</v>
      </c>
      <c r="B273" t="s">
        <v>575</v>
      </c>
      <c r="C273" t="s">
        <v>21</v>
      </c>
      <c r="D273">
        <v>16</v>
      </c>
      <c r="E273">
        <v>33</v>
      </c>
      <c r="F273">
        <v>1471985</v>
      </c>
      <c r="G273">
        <v>20.16</v>
      </c>
      <c r="H273">
        <v>0.12</v>
      </c>
      <c r="I273">
        <v>448992</v>
      </c>
      <c r="J273">
        <v>627302</v>
      </c>
      <c r="K273">
        <v>633</v>
      </c>
      <c r="L273">
        <v>78</v>
      </c>
      <c r="M273">
        <v>96</v>
      </c>
      <c r="N273">
        <v>799</v>
      </c>
      <c r="O273">
        <v>790766</v>
      </c>
      <c r="P273">
        <v>76</v>
      </c>
      <c r="Q273" t="s">
        <v>27</v>
      </c>
      <c r="R273">
        <v>79</v>
      </c>
      <c r="S273" t="s">
        <v>28</v>
      </c>
    </row>
    <row r="274" spans="1:19">
      <c r="A274" t="s">
        <v>576</v>
      </c>
      <c r="B274" t="s">
        <v>577</v>
      </c>
      <c r="C274" t="s">
        <v>55</v>
      </c>
      <c r="D274">
        <v>20</v>
      </c>
      <c r="E274">
        <v>109</v>
      </c>
      <c r="F274">
        <v>1574583</v>
      </c>
      <c r="G274">
        <v>9.98</v>
      </c>
      <c r="H274">
        <v>0.28999999999999998</v>
      </c>
      <c r="I274">
        <v>37092</v>
      </c>
      <c r="J274">
        <v>254129</v>
      </c>
      <c r="K274">
        <v>1654</v>
      </c>
      <c r="L274">
        <v>50</v>
      </c>
      <c r="M274">
        <v>91</v>
      </c>
      <c r="N274">
        <v>6603</v>
      </c>
      <c r="O274">
        <v>1211928</v>
      </c>
      <c r="P274">
        <v>83</v>
      </c>
      <c r="Q274" t="s">
        <v>27</v>
      </c>
      <c r="R274">
        <v>68</v>
      </c>
      <c r="S274" t="s">
        <v>28</v>
      </c>
    </row>
    <row r="275" spans="1:19">
      <c r="A275" t="s">
        <v>578</v>
      </c>
      <c r="B275" t="s">
        <v>579</v>
      </c>
      <c r="C275" t="s">
        <v>21</v>
      </c>
      <c r="D275">
        <v>11</v>
      </c>
      <c r="E275">
        <v>208</v>
      </c>
      <c r="F275">
        <v>2840287</v>
      </c>
      <c r="G275">
        <v>10.28</v>
      </c>
      <c r="H275">
        <v>0.83</v>
      </c>
      <c r="I275">
        <v>296777</v>
      </c>
      <c r="J275">
        <v>353671</v>
      </c>
      <c r="K275">
        <v>115</v>
      </c>
      <c r="L275">
        <v>59</v>
      </c>
      <c r="M275">
        <v>60</v>
      </c>
      <c r="N275">
        <v>1934</v>
      </c>
      <c r="O275">
        <v>2511990</v>
      </c>
      <c r="P275">
        <v>88</v>
      </c>
      <c r="Q275" t="s">
        <v>27</v>
      </c>
      <c r="R275">
        <v>59</v>
      </c>
      <c r="S275" t="s">
        <v>23</v>
      </c>
    </row>
    <row r="276" spans="1:19">
      <c r="A276" t="s">
        <v>580</v>
      </c>
      <c r="B276" t="s">
        <v>581</v>
      </c>
      <c r="C276" t="s">
        <v>26</v>
      </c>
      <c r="D276">
        <v>10</v>
      </c>
      <c r="E276">
        <v>95</v>
      </c>
      <c r="F276">
        <v>3558170</v>
      </c>
      <c r="G276">
        <v>22.85</v>
      </c>
      <c r="H276">
        <v>0.16</v>
      </c>
      <c r="I276">
        <v>776414</v>
      </c>
      <c r="J276">
        <v>263797</v>
      </c>
      <c r="K276">
        <v>693</v>
      </c>
      <c r="L276">
        <v>82</v>
      </c>
      <c r="M276">
        <v>86</v>
      </c>
      <c r="N276">
        <v>7464</v>
      </c>
      <c r="O276">
        <v>1834853</v>
      </c>
      <c r="P276">
        <v>99</v>
      </c>
      <c r="Q276" t="s">
        <v>22</v>
      </c>
      <c r="R276">
        <v>87</v>
      </c>
      <c r="S276" t="s">
        <v>137</v>
      </c>
    </row>
    <row r="277" spans="1:19">
      <c r="A277" t="s">
        <v>582</v>
      </c>
      <c r="B277" t="s">
        <v>583</v>
      </c>
      <c r="C277" t="s">
        <v>55</v>
      </c>
      <c r="D277">
        <v>16</v>
      </c>
      <c r="E277">
        <v>242</v>
      </c>
      <c r="F277">
        <v>1747915</v>
      </c>
      <c r="G277">
        <v>24.12</v>
      </c>
      <c r="H277">
        <v>1.2</v>
      </c>
      <c r="I277">
        <v>-49492</v>
      </c>
      <c r="J277">
        <v>367814</v>
      </c>
      <c r="K277">
        <v>306</v>
      </c>
      <c r="L277">
        <v>90</v>
      </c>
      <c r="M277">
        <v>94</v>
      </c>
      <c r="N277">
        <v>2515</v>
      </c>
      <c r="O277">
        <v>995268</v>
      </c>
      <c r="P277">
        <v>60</v>
      </c>
      <c r="Q277" t="s">
        <v>27</v>
      </c>
      <c r="R277">
        <v>56</v>
      </c>
      <c r="S277" t="s">
        <v>23</v>
      </c>
    </row>
    <row r="278" spans="1:19">
      <c r="A278" t="s">
        <v>584</v>
      </c>
      <c r="B278" t="s">
        <v>585</v>
      </c>
      <c r="C278" t="s">
        <v>21</v>
      </c>
      <c r="D278">
        <v>14</v>
      </c>
      <c r="E278">
        <v>31</v>
      </c>
      <c r="F278">
        <v>3403650</v>
      </c>
      <c r="G278">
        <v>21.52</v>
      </c>
      <c r="H278">
        <v>0.87</v>
      </c>
      <c r="I278">
        <v>152022</v>
      </c>
      <c r="J278">
        <v>784290</v>
      </c>
      <c r="K278">
        <v>1690</v>
      </c>
      <c r="L278">
        <v>45</v>
      </c>
      <c r="M278">
        <v>92</v>
      </c>
      <c r="N278">
        <v>2093</v>
      </c>
      <c r="O278">
        <v>2068132</v>
      </c>
      <c r="P278">
        <v>72</v>
      </c>
      <c r="Q278" t="s">
        <v>27</v>
      </c>
      <c r="R278">
        <v>64</v>
      </c>
      <c r="S278" t="s">
        <v>28</v>
      </c>
    </row>
    <row r="279" spans="1:19">
      <c r="A279" t="s">
        <v>586</v>
      </c>
      <c r="B279" t="s">
        <v>587</v>
      </c>
      <c r="C279" t="s">
        <v>31</v>
      </c>
      <c r="D279">
        <v>20</v>
      </c>
      <c r="E279">
        <v>250</v>
      </c>
      <c r="F279">
        <v>1504494</v>
      </c>
      <c r="G279">
        <v>20.66</v>
      </c>
      <c r="H279">
        <v>0.17</v>
      </c>
      <c r="I279">
        <v>866552</v>
      </c>
      <c r="J279">
        <v>542188</v>
      </c>
      <c r="K279">
        <v>868</v>
      </c>
      <c r="L279">
        <v>70</v>
      </c>
      <c r="M279">
        <v>91</v>
      </c>
      <c r="N279">
        <v>2704</v>
      </c>
      <c r="O279">
        <v>761656</v>
      </c>
      <c r="P279">
        <v>66</v>
      </c>
      <c r="Q279" t="s">
        <v>27</v>
      </c>
      <c r="R279">
        <v>75</v>
      </c>
      <c r="S279" t="s">
        <v>28</v>
      </c>
    </row>
    <row r="280" spans="1:19">
      <c r="A280" t="s">
        <v>588</v>
      </c>
      <c r="B280" t="s">
        <v>589</v>
      </c>
      <c r="C280" t="s">
        <v>64</v>
      </c>
      <c r="D280">
        <v>6</v>
      </c>
      <c r="E280">
        <v>250</v>
      </c>
      <c r="F280">
        <v>2171587</v>
      </c>
      <c r="G280">
        <v>23.42</v>
      </c>
      <c r="H280">
        <v>0.35</v>
      </c>
      <c r="I280">
        <v>646738</v>
      </c>
      <c r="J280">
        <v>877466</v>
      </c>
      <c r="K280">
        <v>1244</v>
      </c>
      <c r="L280">
        <v>86</v>
      </c>
      <c r="M280">
        <v>98</v>
      </c>
      <c r="N280">
        <v>6519</v>
      </c>
      <c r="O280">
        <v>1746615</v>
      </c>
      <c r="P280">
        <v>70</v>
      </c>
      <c r="Q280" t="s">
        <v>22</v>
      </c>
      <c r="R280">
        <v>75</v>
      </c>
      <c r="S280" t="s">
        <v>28</v>
      </c>
    </row>
    <row r="281" spans="1:19">
      <c r="A281" t="s">
        <v>590</v>
      </c>
      <c r="B281" t="s">
        <v>591</v>
      </c>
      <c r="C281" t="s">
        <v>55</v>
      </c>
      <c r="D281">
        <v>20</v>
      </c>
      <c r="E281">
        <v>93</v>
      </c>
      <c r="F281">
        <v>839173</v>
      </c>
      <c r="G281">
        <v>5.51</v>
      </c>
      <c r="H281">
        <v>0.71</v>
      </c>
      <c r="I281">
        <v>436689</v>
      </c>
      <c r="J281">
        <v>464572</v>
      </c>
      <c r="K281">
        <v>1463</v>
      </c>
      <c r="L281">
        <v>63</v>
      </c>
      <c r="M281">
        <v>80</v>
      </c>
      <c r="N281">
        <v>7142</v>
      </c>
      <c r="O281">
        <v>600745</v>
      </c>
      <c r="P281">
        <v>80</v>
      </c>
      <c r="Q281" t="s">
        <v>27</v>
      </c>
      <c r="R281">
        <v>55</v>
      </c>
      <c r="S281" t="s">
        <v>23</v>
      </c>
    </row>
    <row r="282" spans="1:19">
      <c r="A282" t="s">
        <v>592</v>
      </c>
      <c r="B282" t="s">
        <v>593</v>
      </c>
      <c r="C282" t="s">
        <v>21</v>
      </c>
      <c r="D282">
        <v>8</v>
      </c>
      <c r="E282">
        <v>21</v>
      </c>
      <c r="F282">
        <v>4310334</v>
      </c>
      <c r="G282">
        <v>19.850000000000001</v>
      </c>
      <c r="H282">
        <v>1.0900000000000001</v>
      </c>
      <c r="I282">
        <v>312802</v>
      </c>
      <c r="J282">
        <v>193710</v>
      </c>
      <c r="K282">
        <v>466</v>
      </c>
      <c r="L282">
        <v>46</v>
      </c>
      <c r="M282">
        <v>95</v>
      </c>
      <c r="N282">
        <v>5028</v>
      </c>
      <c r="O282">
        <v>3415094</v>
      </c>
      <c r="P282">
        <v>77</v>
      </c>
      <c r="Q282" t="s">
        <v>22</v>
      </c>
      <c r="R282">
        <v>59</v>
      </c>
      <c r="S282" t="s">
        <v>23</v>
      </c>
    </row>
    <row r="283" spans="1:19">
      <c r="A283" t="s">
        <v>594</v>
      </c>
      <c r="B283" t="s">
        <v>595</v>
      </c>
      <c r="C283" t="s">
        <v>110</v>
      </c>
      <c r="D283">
        <v>5</v>
      </c>
      <c r="E283">
        <v>172</v>
      </c>
      <c r="F283">
        <v>3760089</v>
      </c>
      <c r="G283">
        <v>9.76</v>
      </c>
      <c r="H283">
        <v>0.6</v>
      </c>
      <c r="I283">
        <v>775326</v>
      </c>
      <c r="J283">
        <v>268405</v>
      </c>
      <c r="K283">
        <v>1648</v>
      </c>
      <c r="L283">
        <v>84</v>
      </c>
      <c r="M283">
        <v>85</v>
      </c>
      <c r="N283">
        <v>2529</v>
      </c>
      <c r="O283">
        <v>2439542</v>
      </c>
      <c r="P283">
        <v>89</v>
      </c>
      <c r="Q283" t="s">
        <v>27</v>
      </c>
      <c r="R283">
        <v>63</v>
      </c>
      <c r="S283" t="s">
        <v>28</v>
      </c>
    </row>
    <row r="284" spans="1:19">
      <c r="A284" t="s">
        <v>596</v>
      </c>
      <c r="B284" t="s">
        <v>597</v>
      </c>
      <c r="C284" t="s">
        <v>55</v>
      </c>
      <c r="D284">
        <v>14</v>
      </c>
      <c r="E284">
        <v>27</v>
      </c>
      <c r="F284">
        <v>2573069</v>
      </c>
      <c r="G284">
        <v>11.53</v>
      </c>
      <c r="H284">
        <v>0.72</v>
      </c>
      <c r="I284">
        <v>468354</v>
      </c>
      <c r="J284">
        <v>254028</v>
      </c>
      <c r="K284">
        <v>382</v>
      </c>
      <c r="L284">
        <v>79</v>
      </c>
      <c r="M284">
        <v>92</v>
      </c>
      <c r="N284">
        <v>5761</v>
      </c>
      <c r="O284">
        <v>1867415</v>
      </c>
      <c r="P284">
        <v>75</v>
      </c>
      <c r="Q284" t="s">
        <v>27</v>
      </c>
      <c r="R284">
        <v>58</v>
      </c>
      <c r="S284" t="s">
        <v>23</v>
      </c>
    </row>
    <row r="285" spans="1:19">
      <c r="A285" t="s">
        <v>598</v>
      </c>
      <c r="B285" t="s">
        <v>599</v>
      </c>
      <c r="C285" t="s">
        <v>41</v>
      </c>
      <c r="D285">
        <v>20</v>
      </c>
      <c r="E285">
        <v>138</v>
      </c>
      <c r="F285">
        <v>3604357</v>
      </c>
      <c r="G285">
        <v>17.46</v>
      </c>
      <c r="H285">
        <v>0.3</v>
      </c>
      <c r="I285">
        <v>835172</v>
      </c>
      <c r="J285">
        <v>203285</v>
      </c>
      <c r="K285">
        <v>1722</v>
      </c>
      <c r="L285">
        <v>50</v>
      </c>
      <c r="M285">
        <v>85</v>
      </c>
      <c r="N285">
        <v>3679</v>
      </c>
      <c r="O285">
        <v>3024936</v>
      </c>
      <c r="P285">
        <v>91</v>
      </c>
      <c r="Q285" t="s">
        <v>27</v>
      </c>
      <c r="R285">
        <v>77</v>
      </c>
      <c r="S285" t="s">
        <v>28</v>
      </c>
    </row>
    <row r="286" spans="1:19">
      <c r="A286" t="s">
        <v>600</v>
      </c>
      <c r="B286" t="s">
        <v>601</v>
      </c>
      <c r="C286" t="s">
        <v>75</v>
      </c>
      <c r="D286">
        <v>8</v>
      </c>
      <c r="E286">
        <v>119</v>
      </c>
      <c r="F286">
        <v>2271597</v>
      </c>
      <c r="G286">
        <v>20.81</v>
      </c>
      <c r="H286">
        <v>0.24</v>
      </c>
      <c r="I286">
        <v>450488</v>
      </c>
      <c r="J286">
        <v>203985</v>
      </c>
      <c r="K286">
        <v>675</v>
      </c>
      <c r="L286">
        <v>95</v>
      </c>
      <c r="M286">
        <v>68</v>
      </c>
      <c r="N286">
        <v>7062</v>
      </c>
      <c r="O286">
        <v>1242924</v>
      </c>
      <c r="P286">
        <v>66</v>
      </c>
      <c r="Q286" t="s">
        <v>27</v>
      </c>
      <c r="R286">
        <v>74</v>
      </c>
      <c r="S286" t="s">
        <v>28</v>
      </c>
    </row>
    <row r="287" spans="1:19">
      <c r="A287" t="s">
        <v>602</v>
      </c>
      <c r="B287" t="s">
        <v>603</v>
      </c>
      <c r="C287" t="s">
        <v>38</v>
      </c>
      <c r="D287">
        <v>19</v>
      </c>
      <c r="E287">
        <v>149</v>
      </c>
      <c r="F287">
        <v>1287839</v>
      </c>
      <c r="G287">
        <v>9.7200000000000006</v>
      </c>
      <c r="H287">
        <v>1.04</v>
      </c>
      <c r="I287">
        <v>799221</v>
      </c>
      <c r="J287">
        <v>412495</v>
      </c>
      <c r="K287">
        <v>1241</v>
      </c>
      <c r="L287">
        <v>95</v>
      </c>
      <c r="M287">
        <v>97</v>
      </c>
      <c r="N287">
        <v>962</v>
      </c>
      <c r="O287">
        <v>652155</v>
      </c>
      <c r="P287">
        <v>100</v>
      </c>
      <c r="Q287" t="s">
        <v>27</v>
      </c>
      <c r="R287">
        <v>58</v>
      </c>
      <c r="S287" t="s">
        <v>23</v>
      </c>
    </row>
    <row r="288" spans="1:19">
      <c r="A288" t="s">
        <v>604</v>
      </c>
      <c r="B288" t="s">
        <v>605</v>
      </c>
      <c r="C288" t="s">
        <v>26</v>
      </c>
      <c r="D288">
        <v>17</v>
      </c>
      <c r="E288">
        <v>210</v>
      </c>
      <c r="F288">
        <v>2867261</v>
      </c>
      <c r="G288">
        <v>6.21</v>
      </c>
      <c r="H288">
        <v>0.45</v>
      </c>
      <c r="I288">
        <v>58866</v>
      </c>
      <c r="J288">
        <v>205133</v>
      </c>
      <c r="K288">
        <v>790</v>
      </c>
      <c r="L288">
        <v>85</v>
      </c>
      <c r="M288">
        <v>76</v>
      </c>
      <c r="N288">
        <v>3559</v>
      </c>
      <c r="O288">
        <v>2673913</v>
      </c>
      <c r="P288">
        <v>64</v>
      </c>
      <c r="Q288" t="s">
        <v>22</v>
      </c>
      <c r="R288">
        <v>56</v>
      </c>
      <c r="S288" t="s">
        <v>23</v>
      </c>
    </row>
    <row r="289" spans="1:19">
      <c r="A289" t="s">
        <v>606</v>
      </c>
      <c r="B289" t="s">
        <v>607</v>
      </c>
      <c r="C289" t="s">
        <v>31</v>
      </c>
      <c r="D289">
        <v>7</v>
      </c>
      <c r="E289">
        <v>181</v>
      </c>
      <c r="F289">
        <v>4512743</v>
      </c>
      <c r="G289">
        <v>18.29</v>
      </c>
      <c r="H289">
        <v>1.1499999999999999</v>
      </c>
      <c r="I289">
        <v>69115</v>
      </c>
      <c r="J289">
        <v>454558</v>
      </c>
      <c r="K289">
        <v>899</v>
      </c>
      <c r="L289">
        <v>87</v>
      </c>
      <c r="M289">
        <v>96</v>
      </c>
      <c r="N289">
        <v>5353</v>
      </c>
      <c r="O289">
        <v>3558113</v>
      </c>
      <c r="P289">
        <v>90</v>
      </c>
      <c r="Q289" t="s">
        <v>22</v>
      </c>
      <c r="R289">
        <v>60</v>
      </c>
      <c r="S289" t="s">
        <v>28</v>
      </c>
    </row>
    <row r="290" spans="1:19">
      <c r="A290" t="s">
        <v>608</v>
      </c>
      <c r="B290" t="s">
        <v>609</v>
      </c>
      <c r="C290" t="s">
        <v>64</v>
      </c>
      <c r="D290">
        <v>10</v>
      </c>
      <c r="E290">
        <v>178</v>
      </c>
      <c r="F290">
        <v>3324928</v>
      </c>
      <c r="G290">
        <v>17.54</v>
      </c>
      <c r="H290">
        <v>1.1000000000000001</v>
      </c>
      <c r="I290">
        <v>408037</v>
      </c>
      <c r="J290">
        <v>721990</v>
      </c>
      <c r="K290">
        <v>342</v>
      </c>
      <c r="L290">
        <v>51</v>
      </c>
      <c r="M290">
        <v>85</v>
      </c>
      <c r="N290">
        <v>5984</v>
      </c>
      <c r="O290">
        <v>2685676</v>
      </c>
      <c r="P290">
        <v>84</v>
      </c>
      <c r="Q290" t="s">
        <v>22</v>
      </c>
      <c r="R290">
        <v>59</v>
      </c>
      <c r="S290" t="s">
        <v>23</v>
      </c>
    </row>
    <row r="291" spans="1:19">
      <c r="A291" t="s">
        <v>610</v>
      </c>
      <c r="B291" t="s">
        <v>611</v>
      </c>
      <c r="C291" t="s">
        <v>41</v>
      </c>
      <c r="D291">
        <v>7</v>
      </c>
      <c r="E291">
        <v>195</v>
      </c>
      <c r="F291">
        <v>3122997</v>
      </c>
      <c r="G291">
        <v>7.04</v>
      </c>
      <c r="H291">
        <v>0.46</v>
      </c>
      <c r="I291">
        <v>-84476</v>
      </c>
      <c r="J291">
        <v>681846</v>
      </c>
      <c r="K291">
        <v>1253</v>
      </c>
      <c r="L291">
        <v>60</v>
      </c>
      <c r="M291">
        <v>98</v>
      </c>
      <c r="N291">
        <v>7358</v>
      </c>
      <c r="O291">
        <v>2642900</v>
      </c>
      <c r="P291">
        <v>82</v>
      </c>
      <c r="Q291" t="s">
        <v>27</v>
      </c>
      <c r="R291">
        <v>62</v>
      </c>
      <c r="S291" t="s">
        <v>28</v>
      </c>
    </row>
    <row r="292" spans="1:19">
      <c r="A292" t="s">
        <v>612</v>
      </c>
      <c r="B292" t="s">
        <v>613</v>
      </c>
      <c r="C292" t="s">
        <v>26</v>
      </c>
      <c r="D292">
        <v>4</v>
      </c>
      <c r="E292">
        <v>20</v>
      </c>
      <c r="F292">
        <v>2676514</v>
      </c>
      <c r="G292">
        <v>20.57</v>
      </c>
      <c r="H292">
        <v>0.83</v>
      </c>
      <c r="I292">
        <v>426217</v>
      </c>
      <c r="J292">
        <v>399662</v>
      </c>
      <c r="K292">
        <v>875</v>
      </c>
      <c r="L292">
        <v>60</v>
      </c>
      <c r="M292">
        <v>62</v>
      </c>
      <c r="N292">
        <v>4289</v>
      </c>
      <c r="O292">
        <v>2537572</v>
      </c>
      <c r="P292">
        <v>82</v>
      </c>
      <c r="Q292" t="s">
        <v>27</v>
      </c>
      <c r="R292">
        <v>67</v>
      </c>
      <c r="S292" t="s">
        <v>28</v>
      </c>
    </row>
    <row r="293" spans="1:19">
      <c r="A293" t="s">
        <v>614</v>
      </c>
      <c r="B293" t="s">
        <v>615</v>
      </c>
      <c r="C293" t="s">
        <v>38</v>
      </c>
      <c r="D293">
        <v>20</v>
      </c>
      <c r="E293">
        <v>49</v>
      </c>
      <c r="F293">
        <v>4815919</v>
      </c>
      <c r="G293">
        <v>11</v>
      </c>
      <c r="H293">
        <v>0.89</v>
      </c>
      <c r="I293">
        <v>852490</v>
      </c>
      <c r="J293">
        <v>934492</v>
      </c>
      <c r="K293">
        <v>1949</v>
      </c>
      <c r="L293">
        <v>85</v>
      </c>
      <c r="M293">
        <v>74</v>
      </c>
      <c r="N293">
        <v>2907</v>
      </c>
      <c r="O293">
        <v>2786434</v>
      </c>
      <c r="P293">
        <v>90</v>
      </c>
      <c r="Q293" t="s">
        <v>22</v>
      </c>
      <c r="R293">
        <v>59</v>
      </c>
      <c r="S293" t="s">
        <v>23</v>
      </c>
    </row>
    <row r="294" spans="1:19">
      <c r="A294" t="s">
        <v>616</v>
      </c>
      <c r="B294" t="s">
        <v>617</v>
      </c>
      <c r="C294" t="s">
        <v>31</v>
      </c>
      <c r="D294">
        <v>4</v>
      </c>
      <c r="E294">
        <v>31</v>
      </c>
      <c r="F294">
        <v>2653346</v>
      </c>
      <c r="G294">
        <v>10.53</v>
      </c>
      <c r="H294">
        <v>0.31</v>
      </c>
      <c r="I294">
        <v>542098</v>
      </c>
      <c r="J294">
        <v>410776</v>
      </c>
      <c r="K294">
        <v>1437</v>
      </c>
      <c r="L294">
        <v>60</v>
      </c>
      <c r="M294">
        <v>88</v>
      </c>
      <c r="N294">
        <v>5584</v>
      </c>
      <c r="O294">
        <v>1373262</v>
      </c>
      <c r="P294">
        <v>78</v>
      </c>
      <c r="Q294" t="s">
        <v>27</v>
      </c>
      <c r="R294">
        <v>67</v>
      </c>
      <c r="S294" t="s">
        <v>28</v>
      </c>
    </row>
    <row r="295" spans="1:19">
      <c r="A295" t="s">
        <v>618</v>
      </c>
      <c r="B295" t="s">
        <v>619</v>
      </c>
      <c r="C295" t="s">
        <v>75</v>
      </c>
      <c r="D295">
        <v>2</v>
      </c>
      <c r="E295">
        <v>81</v>
      </c>
      <c r="F295">
        <v>4096985</v>
      </c>
      <c r="G295">
        <v>23.86</v>
      </c>
      <c r="H295">
        <v>0.69</v>
      </c>
      <c r="I295">
        <v>353098</v>
      </c>
      <c r="J295">
        <v>588447</v>
      </c>
      <c r="K295">
        <v>1991</v>
      </c>
      <c r="L295">
        <v>65</v>
      </c>
      <c r="M295">
        <v>63</v>
      </c>
      <c r="N295">
        <v>5946</v>
      </c>
      <c r="O295">
        <v>3085873</v>
      </c>
      <c r="P295">
        <v>76</v>
      </c>
      <c r="Q295" t="s">
        <v>27</v>
      </c>
      <c r="R295">
        <v>70</v>
      </c>
      <c r="S295" t="s">
        <v>28</v>
      </c>
    </row>
    <row r="296" spans="1:19">
      <c r="A296" t="s">
        <v>620</v>
      </c>
      <c r="B296" t="s">
        <v>621</v>
      </c>
      <c r="C296" t="s">
        <v>26</v>
      </c>
      <c r="D296">
        <v>7</v>
      </c>
      <c r="E296">
        <v>168</v>
      </c>
      <c r="F296">
        <v>3335695</v>
      </c>
      <c r="G296">
        <v>24.94</v>
      </c>
      <c r="H296">
        <v>0.84</v>
      </c>
      <c r="I296">
        <v>304274</v>
      </c>
      <c r="J296">
        <v>345783</v>
      </c>
      <c r="K296">
        <v>1459</v>
      </c>
      <c r="L296">
        <v>85</v>
      </c>
      <c r="M296">
        <v>79</v>
      </c>
      <c r="N296">
        <v>4062</v>
      </c>
      <c r="O296">
        <v>1939637</v>
      </c>
      <c r="P296">
        <v>90</v>
      </c>
      <c r="Q296" t="s">
        <v>27</v>
      </c>
      <c r="R296">
        <v>73</v>
      </c>
      <c r="S296" t="s">
        <v>28</v>
      </c>
    </row>
    <row r="297" spans="1:19">
      <c r="A297" t="s">
        <v>622</v>
      </c>
      <c r="B297" t="s">
        <v>623</v>
      </c>
      <c r="C297" t="s">
        <v>26</v>
      </c>
      <c r="D297">
        <v>14</v>
      </c>
      <c r="E297">
        <v>17</v>
      </c>
      <c r="F297">
        <v>2635218</v>
      </c>
      <c r="G297">
        <v>12.55</v>
      </c>
      <c r="H297">
        <v>0.12</v>
      </c>
      <c r="I297">
        <v>162925</v>
      </c>
      <c r="J297">
        <v>373942</v>
      </c>
      <c r="K297">
        <v>776</v>
      </c>
      <c r="L297">
        <v>85</v>
      </c>
      <c r="M297">
        <v>85</v>
      </c>
      <c r="N297">
        <v>4670</v>
      </c>
      <c r="O297">
        <v>2494071</v>
      </c>
      <c r="P297">
        <v>90</v>
      </c>
      <c r="Q297" t="s">
        <v>22</v>
      </c>
      <c r="R297">
        <v>76</v>
      </c>
      <c r="S297" t="s">
        <v>28</v>
      </c>
    </row>
    <row r="298" spans="1:19">
      <c r="A298" t="s">
        <v>624</v>
      </c>
      <c r="B298" t="s">
        <v>625</v>
      </c>
      <c r="C298" t="s">
        <v>31</v>
      </c>
      <c r="D298">
        <v>16</v>
      </c>
      <c r="E298">
        <v>213</v>
      </c>
      <c r="F298">
        <v>4342095</v>
      </c>
      <c r="G298">
        <v>2.3199999999999998</v>
      </c>
      <c r="H298">
        <v>0.16</v>
      </c>
      <c r="I298">
        <v>85341</v>
      </c>
      <c r="J298">
        <v>801441</v>
      </c>
      <c r="K298">
        <v>1425</v>
      </c>
      <c r="L298">
        <v>71</v>
      </c>
      <c r="M298">
        <v>71</v>
      </c>
      <c r="N298">
        <v>5830</v>
      </c>
      <c r="O298">
        <v>2685064</v>
      </c>
      <c r="P298">
        <v>66</v>
      </c>
      <c r="Q298" t="s">
        <v>27</v>
      </c>
      <c r="R298">
        <v>59</v>
      </c>
      <c r="S298" t="s">
        <v>23</v>
      </c>
    </row>
    <row r="299" spans="1:19">
      <c r="A299" t="s">
        <v>626</v>
      </c>
      <c r="B299" t="s">
        <v>627</v>
      </c>
      <c r="C299" t="s">
        <v>31</v>
      </c>
      <c r="D299">
        <v>6</v>
      </c>
      <c r="E299">
        <v>191</v>
      </c>
      <c r="F299">
        <v>2504865</v>
      </c>
      <c r="G299">
        <v>21.59</v>
      </c>
      <c r="H299">
        <v>0.14000000000000001</v>
      </c>
      <c r="I299">
        <v>321918</v>
      </c>
      <c r="J299">
        <v>599874</v>
      </c>
      <c r="K299">
        <v>1031</v>
      </c>
      <c r="L299">
        <v>51</v>
      </c>
      <c r="M299">
        <v>89</v>
      </c>
      <c r="N299">
        <v>2078</v>
      </c>
      <c r="O299">
        <v>1836995</v>
      </c>
      <c r="P299">
        <v>72</v>
      </c>
      <c r="Q299" t="s">
        <v>22</v>
      </c>
      <c r="R299">
        <v>78</v>
      </c>
      <c r="S299" t="s">
        <v>28</v>
      </c>
    </row>
    <row r="300" spans="1:19">
      <c r="A300" t="s">
        <v>628</v>
      </c>
      <c r="B300" t="s">
        <v>629</v>
      </c>
      <c r="C300" t="s">
        <v>41</v>
      </c>
      <c r="D300">
        <v>20</v>
      </c>
      <c r="E300">
        <v>22</v>
      </c>
      <c r="F300">
        <v>2604806</v>
      </c>
      <c r="G300">
        <v>14.09</v>
      </c>
      <c r="H300">
        <v>0.26</v>
      </c>
      <c r="I300">
        <v>240947</v>
      </c>
      <c r="J300">
        <v>253987</v>
      </c>
      <c r="K300">
        <v>280</v>
      </c>
      <c r="L300">
        <v>59</v>
      </c>
      <c r="M300">
        <v>98</v>
      </c>
      <c r="N300">
        <v>860</v>
      </c>
      <c r="O300">
        <v>2210262</v>
      </c>
      <c r="P300">
        <v>74</v>
      </c>
      <c r="Q300" t="s">
        <v>27</v>
      </c>
      <c r="R300">
        <v>70</v>
      </c>
      <c r="S300" t="s">
        <v>28</v>
      </c>
    </row>
    <row r="301" spans="1:19">
      <c r="A301" t="s">
        <v>630</v>
      </c>
      <c r="B301" t="s">
        <v>631</v>
      </c>
      <c r="C301" t="s">
        <v>44</v>
      </c>
      <c r="D301">
        <v>2</v>
      </c>
      <c r="E301">
        <v>79</v>
      </c>
      <c r="F301">
        <v>3331539</v>
      </c>
      <c r="G301">
        <v>12.83</v>
      </c>
      <c r="H301">
        <v>1.06</v>
      </c>
      <c r="I301">
        <v>615434</v>
      </c>
      <c r="J301">
        <v>188319</v>
      </c>
      <c r="K301">
        <v>739</v>
      </c>
      <c r="L301">
        <v>47</v>
      </c>
      <c r="M301">
        <v>64</v>
      </c>
      <c r="N301">
        <v>1489</v>
      </c>
      <c r="O301">
        <v>2015410</v>
      </c>
      <c r="P301">
        <v>69</v>
      </c>
      <c r="Q301" t="s">
        <v>27</v>
      </c>
      <c r="R301">
        <v>51</v>
      </c>
      <c r="S301" t="s">
        <v>23</v>
      </c>
    </row>
    <row r="302" spans="1:19">
      <c r="A302" t="s">
        <v>632</v>
      </c>
      <c r="B302" t="s">
        <v>633</v>
      </c>
      <c r="C302" t="s">
        <v>64</v>
      </c>
      <c r="D302">
        <v>12</v>
      </c>
      <c r="E302">
        <v>180</v>
      </c>
      <c r="F302">
        <v>1946653</v>
      </c>
      <c r="G302">
        <v>16.22</v>
      </c>
      <c r="H302">
        <v>0.28999999999999998</v>
      </c>
      <c r="I302">
        <v>974457</v>
      </c>
      <c r="J302">
        <v>746789</v>
      </c>
      <c r="K302">
        <v>1776</v>
      </c>
      <c r="L302">
        <v>54</v>
      </c>
      <c r="M302">
        <v>62</v>
      </c>
      <c r="N302">
        <v>6880</v>
      </c>
      <c r="O302">
        <v>1569515</v>
      </c>
      <c r="P302">
        <v>64</v>
      </c>
      <c r="Q302" t="s">
        <v>22</v>
      </c>
      <c r="R302">
        <v>68</v>
      </c>
      <c r="S302" t="s">
        <v>28</v>
      </c>
    </row>
    <row r="303" spans="1:19">
      <c r="A303" t="s">
        <v>634</v>
      </c>
      <c r="B303" t="s">
        <v>635</v>
      </c>
      <c r="C303" t="s">
        <v>21</v>
      </c>
      <c r="D303">
        <v>13</v>
      </c>
      <c r="E303">
        <v>97</v>
      </c>
      <c r="F303">
        <v>2918534</v>
      </c>
      <c r="G303">
        <v>11.97</v>
      </c>
      <c r="H303">
        <v>0.97</v>
      </c>
      <c r="I303">
        <v>490116</v>
      </c>
      <c r="J303">
        <v>904733</v>
      </c>
      <c r="K303">
        <v>357</v>
      </c>
      <c r="L303">
        <v>92</v>
      </c>
      <c r="M303">
        <v>81</v>
      </c>
      <c r="N303">
        <v>1613</v>
      </c>
      <c r="O303">
        <v>1901508</v>
      </c>
      <c r="P303">
        <v>84</v>
      </c>
      <c r="Q303" t="s">
        <v>22</v>
      </c>
      <c r="R303">
        <v>57</v>
      </c>
      <c r="S303" t="s">
        <v>23</v>
      </c>
    </row>
    <row r="304" spans="1:19">
      <c r="A304" t="s">
        <v>636</v>
      </c>
      <c r="B304" t="s">
        <v>637</v>
      </c>
      <c r="C304" t="s">
        <v>64</v>
      </c>
      <c r="D304">
        <v>13</v>
      </c>
      <c r="E304">
        <v>163</v>
      </c>
      <c r="F304">
        <v>3667104</v>
      </c>
      <c r="G304">
        <v>14.48</v>
      </c>
      <c r="H304">
        <v>1.04</v>
      </c>
      <c r="I304">
        <v>313178</v>
      </c>
      <c r="J304">
        <v>712369</v>
      </c>
      <c r="K304">
        <v>156</v>
      </c>
      <c r="L304">
        <v>81</v>
      </c>
      <c r="M304">
        <v>83</v>
      </c>
      <c r="N304">
        <v>6197</v>
      </c>
      <c r="O304">
        <v>3335597</v>
      </c>
      <c r="P304">
        <v>79</v>
      </c>
      <c r="Q304" t="s">
        <v>27</v>
      </c>
      <c r="R304">
        <v>56</v>
      </c>
      <c r="S304" t="s">
        <v>23</v>
      </c>
    </row>
    <row r="305" spans="1:19">
      <c r="A305" t="s">
        <v>638</v>
      </c>
      <c r="B305" t="s">
        <v>639</v>
      </c>
      <c r="C305" t="s">
        <v>21</v>
      </c>
      <c r="D305">
        <v>6</v>
      </c>
      <c r="E305">
        <v>167</v>
      </c>
      <c r="F305">
        <v>2646526</v>
      </c>
      <c r="G305">
        <v>11.37</v>
      </c>
      <c r="H305">
        <v>1.05</v>
      </c>
      <c r="I305">
        <v>283267</v>
      </c>
      <c r="J305">
        <v>925758</v>
      </c>
      <c r="K305">
        <v>1810</v>
      </c>
      <c r="L305">
        <v>76</v>
      </c>
      <c r="M305">
        <v>97</v>
      </c>
      <c r="N305">
        <v>1627</v>
      </c>
      <c r="O305">
        <v>1769389</v>
      </c>
      <c r="P305">
        <v>81</v>
      </c>
      <c r="Q305" t="s">
        <v>27</v>
      </c>
      <c r="R305">
        <v>54</v>
      </c>
      <c r="S305" t="s">
        <v>23</v>
      </c>
    </row>
    <row r="306" spans="1:19">
      <c r="A306" t="s">
        <v>640</v>
      </c>
      <c r="B306" t="s">
        <v>641</v>
      </c>
      <c r="C306" t="s">
        <v>31</v>
      </c>
      <c r="D306">
        <v>12</v>
      </c>
      <c r="E306">
        <v>127</v>
      </c>
      <c r="F306">
        <v>3763919</v>
      </c>
      <c r="G306">
        <v>5.61</v>
      </c>
      <c r="H306">
        <v>0.16</v>
      </c>
      <c r="I306">
        <v>898114</v>
      </c>
      <c r="J306">
        <v>777076</v>
      </c>
      <c r="K306">
        <v>687</v>
      </c>
      <c r="L306">
        <v>95</v>
      </c>
      <c r="M306">
        <v>61</v>
      </c>
      <c r="N306">
        <v>7860</v>
      </c>
      <c r="O306">
        <v>2138705</v>
      </c>
      <c r="P306">
        <v>77</v>
      </c>
      <c r="Q306" t="s">
        <v>22</v>
      </c>
      <c r="R306">
        <v>65</v>
      </c>
      <c r="S306" t="s">
        <v>28</v>
      </c>
    </row>
    <row r="307" spans="1:19">
      <c r="A307" t="s">
        <v>642</v>
      </c>
      <c r="B307" t="s">
        <v>643</v>
      </c>
      <c r="C307" t="s">
        <v>31</v>
      </c>
      <c r="D307">
        <v>7</v>
      </c>
      <c r="E307">
        <v>68</v>
      </c>
      <c r="F307">
        <v>1464548</v>
      </c>
      <c r="G307">
        <v>20.94</v>
      </c>
      <c r="H307">
        <v>0.9</v>
      </c>
      <c r="I307">
        <v>535345</v>
      </c>
      <c r="J307">
        <v>388270</v>
      </c>
      <c r="K307">
        <v>854</v>
      </c>
      <c r="L307">
        <v>74</v>
      </c>
      <c r="M307">
        <v>64</v>
      </c>
      <c r="N307">
        <v>7019</v>
      </c>
      <c r="O307">
        <v>1217593</v>
      </c>
      <c r="P307">
        <v>98</v>
      </c>
      <c r="Q307" t="s">
        <v>27</v>
      </c>
      <c r="R307">
        <v>70</v>
      </c>
      <c r="S307" t="s">
        <v>28</v>
      </c>
    </row>
    <row r="308" spans="1:19">
      <c r="A308" t="s">
        <v>644</v>
      </c>
      <c r="B308" t="s">
        <v>645</v>
      </c>
      <c r="C308" t="s">
        <v>75</v>
      </c>
      <c r="D308">
        <v>14</v>
      </c>
      <c r="E308">
        <v>172</v>
      </c>
      <c r="F308">
        <v>3732951</v>
      </c>
      <c r="G308">
        <v>14.84</v>
      </c>
      <c r="H308">
        <v>0.98</v>
      </c>
      <c r="I308">
        <v>892521</v>
      </c>
      <c r="J308">
        <v>198793</v>
      </c>
      <c r="K308">
        <v>1391</v>
      </c>
      <c r="L308">
        <v>45</v>
      </c>
      <c r="M308">
        <v>97</v>
      </c>
      <c r="N308">
        <v>1436</v>
      </c>
      <c r="O308">
        <v>3276309</v>
      </c>
      <c r="P308">
        <v>84</v>
      </c>
      <c r="Q308" t="s">
        <v>27</v>
      </c>
      <c r="R308">
        <v>59</v>
      </c>
      <c r="S308" t="s">
        <v>23</v>
      </c>
    </row>
    <row r="309" spans="1:19">
      <c r="A309" t="s">
        <v>646</v>
      </c>
      <c r="B309" t="s">
        <v>647</v>
      </c>
      <c r="C309" t="s">
        <v>31</v>
      </c>
      <c r="D309">
        <v>2</v>
      </c>
      <c r="E309">
        <v>90</v>
      </c>
      <c r="F309">
        <v>1909757</v>
      </c>
      <c r="G309">
        <v>10.69</v>
      </c>
      <c r="H309">
        <v>1.19</v>
      </c>
      <c r="I309">
        <v>890326</v>
      </c>
      <c r="J309">
        <v>268315</v>
      </c>
      <c r="K309">
        <v>1096</v>
      </c>
      <c r="L309">
        <v>55</v>
      </c>
      <c r="M309">
        <v>81</v>
      </c>
      <c r="N309">
        <v>5544</v>
      </c>
      <c r="O309">
        <v>1349573</v>
      </c>
      <c r="P309">
        <v>74</v>
      </c>
      <c r="Q309" t="s">
        <v>22</v>
      </c>
      <c r="R309">
        <v>48</v>
      </c>
      <c r="S309" t="s">
        <v>23</v>
      </c>
    </row>
    <row r="310" spans="1:19">
      <c r="A310" t="s">
        <v>648</v>
      </c>
      <c r="B310" t="s">
        <v>649</v>
      </c>
      <c r="C310" t="s">
        <v>55</v>
      </c>
      <c r="D310">
        <v>5</v>
      </c>
      <c r="E310">
        <v>71</v>
      </c>
      <c r="F310">
        <v>873080</v>
      </c>
      <c r="G310">
        <v>2.35</v>
      </c>
      <c r="H310">
        <v>0.98</v>
      </c>
      <c r="I310">
        <v>130729</v>
      </c>
      <c r="J310">
        <v>642903</v>
      </c>
      <c r="K310">
        <v>143</v>
      </c>
      <c r="L310">
        <v>77</v>
      </c>
      <c r="M310">
        <v>97</v>
      </c>
      <c r="N310">
        <v>7338</v>
      </c>
      <c r="O310">
        <v>566283</v>
      </c>
      <c r="P310">
        <v>85</v>
      </c>
      <c r="Q310" t="s">
        <v>22</v>
      </c>
      <c r="R310">
        <v>48</v>
      </c>
      <c r="S310" t="s">
        <v>23</v>
      </c>
    </row>
    <row r="311" spans="1:19">
      <c r="A311" t="s">
        <v>650</v>
      </c>
      <c r="B311" t="s">
        <v>651</v>
      </c>
      <c r="C311" t="s">
        <v>110</v>
      </c>
      <c r="D311">
        <v>20</v>
      </c>
      <c r="E311">
        <v>247</v>
      </c>
      <c r="F311">
        <v>2636155</v>
      </c>
      <c r="G311">
        <v>18.39</v>
      </c>
      <c r="H311">
        <v>1.0900000000000001</v>
      </c>
      <c r="I311">
        <v>644351</v>
      </c>
      <c r="J311">
        <v>656170</v>
      </c>
      <c r="K311">
        <v>1835</v>
      </c>
      <c r="L311">
        <v>63</v>
      </c>
      <c r="M311">
        <v>63</v>
      </c>
      <c r="N311">
        <v>3327</v>
      </c>
      <c r="O311">
        <v>1569142</v>
      </c>
      <c r="P311">
        <v>88</v>
      </c>
      <c r="Q311" t="s">
        <v>22</v>
      </c>
      <c r="R311">
        <v>61</v>
      </c>
      <c r="S311" t="s">
        <v>28</v>
      </c>
    </row>
    <row r="312" spans="1:19">
      <c r="A312" t="s">
        <v>652</v>
      </c>
      <c r="B312" t="s">
        <v>653</v>
      </c>
      <c r="C312" t="s">
        <v>75</v>
      </c>
      <c r="D312">
        <v>8</v>
      </c>
      <c r="E312">
        <v>205</v>
      </c>
      <c r="F312">
        <v>2049488</v>
      </c>
      <c r="G312">
        <v>10</v>
      </c>
      <c r="H312">
        <v>0.56999999999999995</v>
      </c>
      <c r="I312">
        <v>36333</v>
      </c>
      <c r="J312">
        <v>998764</v>
      </c>
      <c r="K312">
        <v>1944</v>
      </c>
      <c r="L312">
        <v>91</v>
      </c>
      <c r="M312">
        <v>70</v>
      </c>
      <c r="N312">
        <v>595</v>
      </c>
      <c r="O312">
        <v>1940380</v>
      </c>
      <c r="P312">
        <v>86</v>
      </c>
      <c r="Q312" t="s">
        <v>27</v>
      </c>
      <c r="R312">
        <v>63</v>
      </c>
      <c r="S312" t="s">
        <v>28</v>
      </c>
    </row>
    <row r="313" spans="1:19">
      <c r="A313" t="s">
        <v>654</v>
      </c>
      <c r="B313" t="s">
        <v>655</v>
      </c>
      <c r="C313" t="s">
        <v>110</v>
      </c>
      <c r="D313">
        <v>6</v>
      </c>
      <c r="E313">
        <v>27</v>
      </c>
      <c r="F313">
        <v>4382910</v>
      </c>
      <c r="G313">
        <v>20.440000000000001</v>
      </c>
      <c r="H313">
        <v>1.08</v>
      </c>
      <c r="I313">
        <v>-70100</v>
      </c>
      <c r="J313">
        <v>880988</v>
      </c>
      <c r="K313">
        <v>254</v>
      </c>
      <c r="L313">
        <v>94</v>
      </c>
      <c r="M313">
        <v>87</v>
      </c>
      <c r="N313">
        <v>5570</v>
      </c>
      <c r="O313">
        <v>2392788</v>
      </c>
      <c r="P313">
        <v>97</v>
      </c>
      <c r="Q313" t="s">
        <v>27</v>
      </c>
      <c r="R313">
        <v>66</v>
      </c>
      <c r="S313" t="s">
        <v>28</v>
      </c>
    </row>
    <row r="314" spans="1:19">
      <c r="A314" t="s">
        <v>656</v>
      </c>
      <c r="B314" t="s">
        <v>657</v>
      </c>
      <c r="C314" t="s">
        <v>110</v>
      </c>
      <c r="D314">
        <v>12</v>
      </c>
      <c r="E314">
        <v>221</v>
      </c>
      <c r="F314">
        <v>2355491</v>
      </c>
      <c r="G314">
        <v>5.71</v>
      </c>
      <c r="H314">
        <v>0.13</v>
      </c>
      <c r="I314">
        <v>512689</v>
      </c>
      <c r="J314">
        <v>236015</v>
      </c>
      <c r="K314">
        <v>895</v>
      </c>
      <c r="L314">
        <v>74</v>
      </c>
      <c r="M314">
        <v>89</v>
      </c>
      <c r="N314">
        <v>3691</v>
      </c>
      <c r="O314">
        <v>2183553</v>
      </c>
      <c r="P314">
        <v>89</v>
      </c>
      <c r="Q314" t="s">
        <v>22</v>
      </c>
      <c r="R314">
        <v>69</v>
      </c>
      <c r="S314" t="s">
        <v>28</v>
      </c>
    </row>
    <row r="315" spans="1:19">
      <c r="A315" t="s">
        <v>658</v>
      </c>
      <c r="B315" t="s">
        <v>659</v>
      </c>
      <c r="C315" t="s">
        <v>55</v>
      </c>
      <c r="D315">
        <v>8</v>
      </c>
      <c r="E315">
        <v>65</v>
      </c>
      <c r="F315">
        <v>4485772</v>
      </c>
      <c r="G315">
        <v>16.989999999999998</v>
      </c>
      <c r="H315">
        <v>0.33</v>
      </c>
      <c r="I315">
        <v>863187</v>
      </c>
      <c r="J315">
        <v>110577</v>
      </c>
      <c r="K315">
        <v>429</v>
      </c>
      <c r="L315">
        <v>55</v>
      </c>
      <c r="M315">
        <v>92</v>
      </c>
      <c r="N315">
        <v>6733</v>
      </c>
      <c r="O315">
        <v>3466875</v>
      </c>
      <c r="P315">
        <v>99</v>
      </c>
      <c r="Q315" t="s">
        <v>22</v>
      </c>
      <c r="R315">
        <v>78</v>
      </c>
      <c r="S315" t="s">
        <v>28</v>
      </c>
    </row>
    <row r="316" spans="1:19">
      <c r="A316" t="s">
        <v>660</v>
      </c>
      <c r="B316" t="s">
        <v>661</v>
      </c>
      <c r="C316" t="s">
        <v>26</v>
      </c>
      <c r="D316">
        <v>3</v>
      </c>
      <c r="E316">
        <v>106</v>
      </c>
      <c r="F316">
        <v>4661932</v>
      </c>
      <c r="G316">
        <v>20.100000000000001</v>
      </c>
      <c r="H316">
        <v>0.13</v>
      </c>
      <c r="I316">
        <v>85097</v>
      </c>
      <c r="J316">
        <v>104858</v>
      </c>
      <c r="K316">
        <v>405</v>
      </c>
      <c r="L316">
        <v>80</v>
      </c>
      <c r="M316">
        <v>92</v>
      </c>
      <c r="N316">
        <v>3958</v>
      </c>
      <c r="O316">
        <v>2535117</v>
      </c>
      <c r="P316">
        <v>74</v>
      </c>
      <c r="Q316" t="s">
        <v>27</v>
      </c>
      <c r="R316">
        <v>78</v>
      </c>
      <c r="S316" t="s">
        <v>28</v>
      </c>
    </row>
    <row r="317" spans="1:19">
      <c r="A317" t="s">
        <v>662</v>
      </c>
      <c r="B317" t="s">
        <v>663</v>
      </c>
      <c r="C317" t="s">
        <v>44</v>
      </c>
      <c r="D317">
        <v>4</v>
      </c>
      <c r="E317">
        <v>39</v>
      </c>
      <c r="F317">
        <v>3778426</v>
      </c>
      <c r="G317">
        <v>17.82</v>
      </c>
      <c r="H317">
        <v>0.67</v>
      </c>
      <c r="I317">
        <v>219441</v>
      </c>
      <c r="J317">
        <v>628066</v>
      </c>
      <c r="K317">
        <v>272</v>
      </c>
      <c r="L317">
        <v>81</v>
      </c>
      <c r="M317">
        <v>84</v>
      </c>
      <c r="N317">
        <v>3222</v>
      </c>
      <c r="O317">
        <v>2763509</v>
      </c>
      <c r="P317">
        <v>82</v>
      </c>
      <c r="Q317" t="s">
        <v>27</v>
      </c>
      <c r="R317">
        <v>67</v>
      </c>
      <c r="S317" t="s">
        <v>28</v>
      </c>
    </row>
    <row r="318" spans="1:19">
      <c r="A318" t="s">
        <v>664</v>
      </c>
      <c r="B318" t="s">
        <v>665</v>
      </c>
      <c r="C318" t="s">
        <v>26</v>
      </c>
      <c r="D318">
        <v>20</v>
      </c>
      <c r="E318">
        <v>17</v>
      </c>
      <c r="F318">
        <v>4723103</v>
      </c>
      <c r="G318">
        <v>18.52</v>
      </c>
      <c r="H318">
        <v>0.62</v>
      </c>
      <c r="I318">
        <v>479179</v>
      </c>
      <c r="J318">
        <v>665753</v>
      </c>
      <c r="K318">
        <v>994</v>
      </c>
      <c r="L318">
        <v>53</v>
      </c>
      <c r="M318">
        <v>66</v>
      </c>
      <c r="N318">
        <v>2975</v>
      </c>
      <c r="O318">
        <v>2374882</v>
      </c>
      <c r="P318">
        <v>72</v>
      </c>
      <c r="Q318" t="s">
        <v>27</v>
      </c>
      <c r="R318">
        <v>66</v>
      </c>
      <c r="S318" t="s">
        <v>28</v>
      </c>
    </row>
    <row r="319" spans="1:19">
      <c r="A319" t="s">
        <v>666</v>
      </c>
      <c r="B319" t="s">
        <v>667</v>
      </c>
      <c r="C319" t="s">
        <v>55</v>
      </c>
      <c r="D319">
        <v>13</v>
      </c>
      <c r="E319">
        <v>175</v>
      </c>
      <c r="F319">
        <v>982776</v>
      </c>
      <c r="G319">
        <v>4.3600000000000003</v>
      </c>
      <c r="H319">
        <v>0.77</v>
      </c>
      <c r="I319">
        <v>671165</v>
      </c>
      <c r="J319">
        <v>614890</v>
      </c>
      <c r="K319">
        <v>741</v>
      </c>
      <c r="L319">
        <v>73</v>
      </c>
      <c r="M319">
        <v>68</v>
      </c>
      <c r="N319">
        <v>7231</v>
      </c>
      <c r="O319">
        <v>499633</v>
      </c>
      <c r="P319">
        <v>77</v>
      </c>
      <c r="Q319" t="s">
        <v>22</v>
      </c>
      <c r="R319">
        <v>52</v>
      </c>
      <c r="S319" t="s">
        <v>23</v>
      </c>
    </row>
    <row r="320" spans="1:19">
      <c r="A320" t="s">
        <v>668</v>
      </c>
      <c r="B320" t="s">
        <v>669</v>
      </c>
      <c r="C320" t="s">
        <v>44</v>
      </c>
      <c r="D320">
        <v>4</v>
      </c>
      <c r="E320">
        <v>199</v>
      </c>
      <c r="F320">
        <v>617876</v>
      </c>
      <c r="G320">
        <v>11.93</v>
      </c>
      <c r="H320">
        <v>0.52</v>
      </c>
      <c r="I320">
        <v>714586</v>
      </c>
      <c r="J320">
        <v>672211</v>
      </c>
      <c r="K320">
        <v>1350</v>
      </c>
      <c r="L320">
        <v>58</v>
      </c>
      <c r="M320">
        <v>80</v>
      </c>
      <c r="N320">
        <v>4038</v>
      </c>
      <c r="O320">
        <v>409712</v>
      </c>
      <c r="P320">
        <v>83</v>
      </c>
      <c r="Q320" t="s">
        <v>22</v>
      </c>
      <c r="R320">
        <v>65</v>
      </c>
      <c r="S320" t="s">
        <v>28</v>
      </c>
    </row>
    <row r="321" spans="1:19">
      <c r="A321" t="s">
        <v>670</v>
      </c>
      <c r="B321" t="s">
        <v>671</v>
      </c>
      <c r="C321" t="s">
        <v>31</v>
      </c>
      <c r="D321">
        <v>8</v>
      </c>
      <c r="E321">
        <v>174</v>
      </c>
      <c r="F321">
        <v>1449786</v>
      </c>
      <c r="G321">
        <v>19.850000000000001</v>
      </c>
      <c r="H321">
        <v>0.68</v>
      </c>
      <c r="I321">
        <v>-57745</v>
      </c>
      <c r="J321">
        <v>571890</v>
      </c>
      <c r="K321">
        <v>1477</v>
      </c>
      <c r="L321">
        <v>93</v>
      </c>
      <c r="M321">
        <v>63</v>
      </c>
      <c r="N321">
        <v>4809</v>
      </c>
      <c r="O321">
        <v>1298030</v>
      </c>
      <c r="P321">
        <v>79</v>
      </c>
      <c r="Q321" t="s">
        <v>22</v>
      </c>
      <c r="R321">
        <v>68</v>
      </c>
      <c r="S321" t="s">
        <v>28</v>
      </c>
    </row>
    <row r="322" spans="1:19">
      <c r="A322" t="s">
        <v>672</v>
      </c>
      <c r="B322" t="s">
        <v>673</v>
      </c>
      <c r="C322" t="s">
        <v>21</v>
      </c>
      <c r="D322">
        <v>7</v>
      </c>
      <c r="E322">
        <v>85</v>
      </c>
      <c r="F322">
        <v>1805194</v>
      </c>
      <c r="G322">
        <v>16.52</v>
      </c>
      <c r="H322">
        <v>1.1399999999999999</v>
      </c>
      <c r="I322">
        <v>715277</v>
      </c>
      <c r="J322">
        <v>843251</v>
      </c>
      <c r="K322">
        <v>1337</v>
      </c>
      <c r="L322">
        <v>76</v>
      </c>
      <c r="M322">
        <v>97</v>
      </c>
      <c r="N322">
        <v>2845</v>
      </c>
      <c r="O322">
        <v>1127951</v>
      </c>
      <c r="P322">
        <v>68</v>
      </c>
      <c r="Q322" t="s">
        <v>22</v>
      </c>
      <c r="R322">
        <v>52</v>
      </c>
      <c r="S322" t="s">
        <v>23</v>
      </c>
    </row>
    <row r="323" spans="1:19">
      <c r="A323" t="s">
        <v>674</v>
      </c>
      <c r="B323" t="s">
        <v>675</v>
      </c>
      <c r="C323" t="s">
        <v>55</v>
      </c>
      <c r="D323">
        <v>12</v>
      </c>
      <c r="E323">
        <v>113</v>
      </c>
      <c r="F323">
        <v>3586939</v>
      </c>
      <c r="G323">
        <v>22.23</v>
      </c>
      <c r="H323">
        <v>0.88</v>
      </c>
      <c r="I323">
        <v>839382</v>
      </c>
      <c r="J323">
        <v>901520</v>
      </c>
      <c r="K323">
        <v>753</v>
      </c>
      <c r="L323">
        <v>57</v>
      </c>
      <c r="M323">
        <v>71</v>
      </c>
      <c r="N323">
        <v>6321</v>
      </c>
      <c r="O323">
        <v>2440264</v>
      </c>
      <c r="P323">
        <v>61</v>
      </c>
      <c r="Q323" t="s">
        <v>27</v>
      </c>
      <c r="R323">
        <v>61</v>
      </c>
      <c r="S323" t="s">
        <v>28</v>
      </c>
    </row>
    <row r="324" spans="1:19">
      <c r="A324" t="s">
        <v>676</v>
      </c>
      <c r="B324" t="s">
        <v>677</v>
      </c>
      <c r="C324" t="s">
        <v>21</v>
      </c>
      <c r="D324">
        <v>4</v>
      </c>
      <c r="E324">
        <v>24</v>
      </c>
      <c r="F324">
        <v>4197802</v>
      </c>
      <c r="G324">
        <v>18.010000000000002</v>
      </c>
      <c r="H324">
        <v>0.36</v>
      </c>
      <c r="I324">
        <v>542594</v>
      </c>
      <c r="J324">
        <v>225790</v>
      </c>
      <c r="K324">
        <v>243</v>
      </c>
      <c r="L324">
        <v>55</v>
      </c>
      <c r="M324">
        <v>69</v>
      </c>
      <c r="N324">
        <v>999</v>
      </c>
      <c r="O324">
        <v>3606985</v>
      </c>
      <c r="P324">
        <v>63</v>
      </c>
      <c r="Q324" t="s">
        <v>27</v>
      </c>
      <c r="R324">
        <v>68</v>
      </c>
      <c r="S324" t="s">
        <v>28</v>
      </c>
    </row>
    <row r="325" spans="1:19">
      <c r="A325" t="s">
        <v>678</v>
      </c>
      <c r="B325" t="s">
        <v>679</v>
      </c>
      <c r="C325" t="s">
        <v>64</v>
      </c>
      <c r="D325">
        <v>17</v>
      </c>
      <c r="E325">
        <v>50</v>
      </c>
      <c r="F325">
        <v>859903</v>
      </c>
      <c r="G325">
        <v>17.11</v>
      </c>
      <c r="H325">
        <v>1.1200000000000001</v>
      </c>
      <c r="I325">
        <v>6028</v>
      </c>
      <c r="J325">
        <v>179267</v>
      </c>
      <c r="K325">
        <v>479</v>
      </c>
      <c r="L325">
        <v>77</v>
      </c>
      <c r="M325">
        <v>89</v>
      </c>
      <c r="N325">
        <v>6037</v>
      </c>
      <c r="O325">
        <v>783906</v>
      </c>
      <c r="P325">
        <v>78</v>
      </c>
      <c r="Q325" t="s">
        <v>27</v>
      </c>
      <c r="R325">
        <v>56</v>
      </c>
      <c r="S325" t="s">
        <v>23</v>
      </c>
    </row>
    <row r="326" spans="1:19">
      <c r="A326" t="s">
        <v>680</v>
      </c>
      <c r="B326" t="s">
        <v>651</v>
      </c>
      <c r="C326" t="s">
        <v>110</v>
      </c>
      <c r="D326">
        <v>7</v>
      </c>
      <c r="E326">
        <v>135</v>
      </c>
      <c r="F326">
        <v>1273965</v>
      </c>
      <c r="G326">
        <v>21.32</v>
      </c>
      <c r="H326">
        <v>1.18</v>
      </c>
      <c r="I326">
        <v>30397</v>
      </c>
      <c r="J326">
        <v>367955</v>
      </c>
      <c r="K326">
        <v>745</v>
      </c>
      <c r="L326">
        <v>91</v>
      </c>
      <c r="M326">
        <v>68</v>
      </c>
      <c r="N326">
        <v>5242</v>
      </c>
      <c r="O326">
        <v>782422</v>
      </c>
      <c r="P326">
        <v>94</v>
      </c>
      <c r="Q326" t="s">
        <v>27</v>
      </c>
      <c r="R326">
        <v>64</v>
      </c>
      <c r="S326" t="s">
        <v>28</v>
      </c>
    </row>
    <row r="327" spans="1:19">
      <c r="A327" t="s">
        <v>681</v>
      </c>
      <c r="B327" t="s">
        <v>682</v>
      </c>
      <c r="C327" t="s">
        <v>26</v>
      </c>
      <c r="D327">
        <v>11</v>
      </c>
      <c r="E327">
        <v>249</v>
      </c>
      <c r="F327">
        <v>2160591</v>
      </c>
      <c r="G327">
        <v>15.84</v>
      </c>
      <c r="H327">
        <v>0.6</v>
      </c>
      <c r="I327">
        <v>120274</v>
      </c>
      <c r="J327">
        <v>184660</v>
      </c>
      <c r="K327">
        <v>410</v>
      </c>
      <c r="L327">
        <v>74</v>
      </c>
      <c r="M327">
        <v>96</v>
      </c>
      <c r="N327">
        <v>1397</v>
      </c>
      <c r="O327">
        <v>1998100</v>
      </c>
      <c r="P327">
        <v>68</v>
      </c>
      <c r="Q327" t="s">
        <v>27</v>
      </c>
      <c r="R327">
        <v>63</v>
      </c>
      <c r="S327" t="s">
        <v>28</v>
      </c>
    </row>
    <row r="328" spans="1:19">
      <c r="A328" t="s">
        <v>683</v>
      </c>
      <c r="B328" t="s">
        <v>684</v>
      </c>
      <c r="C328" t="s">
        <v>31</v>
      </c>
      <c r="D328">
        <v>14</v>
      </c>
      <c r="E328">
        <v>178</v>
      </c>
      <c r="F328">
        <v>2436161</v>
      </c>
      <c r="G328">
        <v>11.47</v>
      </c>
      <c r="H328">
        <v>1.02</v>
      </c>
      <c r="I328">
        <v>260982</v>
      </c>
      <c r="J328">
        <v>251906</v>
      </c>
      <c r="K328">
        <v>691</v>
      </c>
      <c r="L328">
        <v>46</v>
      </c>
      <c r="M328">
        <v>60</v>
      </c>
      <c r="N328">
        <v>2616</v>
      </c>
      <c r="O328">
        <v>1693342</v>
      </c>
      <c r="P328">
        <v>84</v>
      </c>
      <c r="Q328" t="s">
        <v>27</v>
      </c>
      <c r="R328">
        <v>55</v>
      </c>
      <c r="S328" t="s">
        <v>23</v>
      </c>
    </row>
    <row r="329" spans="1:19">
      <c r="A329" t="s">
        <v>685</v>
      </c>
      <c r="B329" t="s">
        <v>686</v>
      </c>
      <c r="C329" t="s">
        <v>31</v>
      </c>
      <c r="D329">
        <v>5</v>
      </c>
      <c r="E329">
        <v>49</v>
      </c>
      <c r="F329">
        <v>4520141</v>
      </c>
      <c r="G329">
        <v>7.48</v>
      </c>
      <c r="H329">
        <v>0.55000000000000004</v>
      </c>
      <c r="I329">
        <v>785072</v>
      </c>
      <c r="J329">
        <v>950507</v>
      </c>
      <c r="K329">
        <v>220</v>
      </c>
      <c r="L329">
        <v>88</v>
      </c>
      <c r="M329">
        <v>80</v>
      </c>
      <c r="N329">
        <v>4252</v>
      </c>
      <c r="O329">
        <v>3651260</v>
      </c>
      <c r="P329">
        <v>65</v>
      </c>
      <c r="Q329" t="s">
        <v>27</v>
      </c>
      <c r="R329">
        <v>55</v>
      </c>
      <c r="S329" t="s">
        <v>23</v>
      </c>
    </row>
    <row r="330" spans="1:19">
      <c r="A330" t="s">
        <v>687</v>
      </c>
      <c r="B330" t="s">
        <v>688</v>
      </c>
      <c r="C330" t="s">
        <v>31</v>
      </c>
      <c r="D330">
        <v>14</v>
      </c>
      <c r="E330">
        <v>103</v>
      </c>
      <c r="F330">
        <v>988904</v>
      </c>
      <c r="G330">
        <v>3.56</v>
      </c>
      <c r="H330">
        <v>1.1599999999999999</v>
      </c>
      <c r="I330">
        <v>518096</v>
      </c>
      <c r="J330">
        <v>700663</v>
      </c>
      <c r="K330">
        <v>1628</v>
      </c>
      <c r="L330">
        <v>50</v>
      </c>
      <c r="M330">
        <v>60</v>
      </c>
      <c r="N330">
        <v>3083</v>
      </c>
      <c r="O330">
        <v>682455</v>
      </c>
      <c r="P330">
        <v>85</v>
      </c>
      <c r="Q330" t="s">
        <v>27</v>
      </c>
      <c r="R330">
        <v>46</v>
      </c>
      <c r="S330" t="s">
        <v>23</v>
      </c>
    </row>
    <row r="331" spans="1:19">
      <c r="A331" t="s">
        <v>689</v>
      </c>
      <c r="B331" t="s">
        <v>690</v>
      </c>
      <c r="C331" t="s">
        <v>21</v>
      </c>
      <c r="D331">
        <v>16</v>
      </c>
      <c r="E331">
        <v>81</v>
      </c>
      <c r="F331">
        <v>1288052</v>
      </c>
      <c r="G331">
        <v>12.56</v>
      </c>
      <c r="H331">
        <v>0.4</v>
      </c>
      <c r="I331">
        <v>295894</v>
      </c>
      <c r="J331">
        <v>503913</v>
      </c>
      <c r="K331">
        <v>1057</v>
      </c>
      <c r="L331">
        <v>67</v>
      </c>
      <c r="M331">
        <v>65</v>
      </c>
      <c r="N331">
        <v>2838</v>
      </c>
      <c r="O331">
        <v>1210996</v>
      </c>
      <c r="P331">
        <v>64</v>
      </c>
      <c r="Q331" t="s">
        <v>22</v>
      </c>
      <c r="R331">
        <v>63</v>
      </c>
      <c r="S331" t="s">
        <v>28</v>
      </c>
    </row>
    <row r="332" spans="1:19">
      <c r="A332" t="s">
        <v>691</v>
      </c>
      <c r="B332" t="s">
        <v>692</v>
      </c>
      <c r="C332" t="s">
        <v>41</v>
      </c>
      <c r="D332">
        <v>7</v>
      </c>
      <c r="E332">
        <v>210</v>
      </c>
      <c r="F332">
        <v>936094</v>
      </c>
      <c r="G332">
        <v>21.19</v>
      </c>
      <c r="H332">
        <v>0.44</v>
      </c>
      <c r="I332">
        <v>146690</v>
      </c>
      <c r="J332">
        <v>852828</v>
      </c>
      <c r="K332">
        <v>475</v>
      </c>
      <c r="L332">
        <v>87</v>
      </c>
      <c r="M332">
        <v>62</v>
      </c>
      <c r="N332">
        <v>7664</v>
      </c>
      <c r="O332">
        <v>582884</v>
      </c>
      <c r="P332">
        <v>66</v>
      </c>
      <c r="Q332" t="s">
        <v>27</v>
      </c>
      <c r="R332">
        <v>70</v>
      </c>
      <c r="S332" t="s">
        <v>28</v>
      </c>
    </row>
    <row r="333" spans="1:19">
      <c r="A333" t="s">
        <v>693</v>
      </c>
      <c r="B333" t="s">
        <v>694</v>
      </c>
      <c r="C333" t="s">
        <v>31</v>
      </c>
      <c r="D333">
        <v>15</v>
      </c>
      <c r="E333">
        <v>170</v>
      </c>
      <c r="F333">
        <v>654155</v>
      </c>
      <c r="G333">
        <v>5.96</v>
      </c>
      <c r="H333">
        <v>1</v>
      </c>
      <c r="I333">
        <v>-16308</v>
      </c>
      <c r="J333">
        <v>161439</v>
      </c>
      <c r="K333">
        <v>602</v>
      </c>
      <c r="L333">
        <v>64</v>
      </c>
      <c r="M333">
        <v>63</v>
      </c>
      <c r="N333">
        <v>6638</v>
      </c>
      <c r="O333">
        <v>569825</v>
      </c>
      <c r="P333">
        <v>90</v>
      </c>
      <c r="Q333" t="s">
        <v>22</v>
      </c>
      <c r="R333">
        <v>52</v>
      </c>
      <c r="S333" t="s">
        <v>23</v>
      </c>
    </row>
    <row r="334" spans="1:19">
      <c r="A334" t="s">
        <v>695</v>
      </c>
      <c r="B334" t="s">
        <v>696</v>
      </c>
      <c r="C334" t="s">
        <v>75</v>
      </c>
      <c r="D334">
        <v>14</v>
      </c>
      <c r="E334">
        <v>244</v>
      </c>
      <c r="F334">
        <v>4152956</v>
      </c>
      <c r="G334">
        <v>3.36</v>
      </c>
      <c r="H334">
        <v>0.37</v>
      </c>
      <c r="I334">
        <v>526703</v>
      </c>
      <c r="J334">
        <v>920637</v>
      </c>
      <c r="K334">
        <v>755</v>
      </c>
      <c r="L334">
        <v>92</v>
      </c>
      <c r="M334">
        <v>62</v>
      </c>
      <c r="N334">
        <v>7553</v>
      </c>
      <c r="O334">
        <v>3599834</v>
      </c>
      <c r="P334">
        <v>63</v>
      </c>
      <c r="Q334" t="s">
        <v>22</v>
      </c>
      <c r="R334">
        <v>55</v>
      </c>
      <c r="S334" t="s">
        <v>23</v>
      </c>
    </row>
    <row r="335" spans="1:19">
      <c r="A335" t="s">
        <v>697</v>
      </c>
      <c r="B335" t="s">
        <v>698</v>
      </c>
      <c r="C335" t="s">
        <v>110</v>
      </c>
      <c r="D335">
        <v>17</v>
      </c>
      <c r="E335">
        <v>162</v>
      </c>
      <c r="F335">
        <v>823907</v>
      </c>
      <c r="G335">
        <v>11.2</v>
      </c>
      <c r="H335">
        <v>1.1100000000000001</v>
      </c>
      <c r="I335">
        <v>193406</v>
      </c>
      <c r="J335">
        <v>692179</v>
      </c>
      <c r="K335">
        <v>542</v>
      </c>
      <c r="L335">
        <v>59</v>
      </c>
      <c r="M335">
        <v>82</v>
      </c>
      <c r="N335">
        <v>1451</v>
      </c>
      <c r="O335">
        <v>770533</v>
      </c>
      <c r="P335">
        <v>78</v>
      </c>
      <c r="Q335" t="s">
        <v>27</v>
      </c>
      <c r="R335">
        <v>51</v>
      </c>
      <c r="S335" t="s">
        <v>23</v>
      </c>
    </row>
    <row r="336" spans="1:19">
      <c r="A336" t="s">
        <v>699</v>
      </c>
      <c r="B336" t="s">
        <v>700</v>
      </c>
      <c r="C336" t="s">
        <v>55</v>
      </c>
      <c r="D336">
        <v>15</v>
      </c>
      <c r="E336">
        <v>201</v>
      </c>
      <c r="F336">
        <v>829517</v>
      </c>
      <c r="G336">
        <v>22.63</v>
      </c>
      <c r="H336">
        <v>0.72</v>
      </c>
      <c r="I336">
        <v>672109</v>
      </c>
      <c r="J336">
        <v>593763</v>
      </c>
      <c r="K336">
        <v>855</v>
      </c>
      <c r="L336">
        <v>86</v>
      </c>
      <c r="M336">
        <v>79</v>
      </c>
      <c r="N336">
        <v>3821</v>
      </c>
      <c r="O336">
        <v>421453</v>
      </c>
      <c r="P336">
        <v>77</v>
      </c>
      <c r="Q336" t="s">
        <v>27</v>
      </c>
      <c r="R336">
        <v>69</v>
      </c>
      <c r="S336" t="s">
        <v>28</v>
      </c>
    </row>
    <row r="337" spans="1:19">
      <c r="A337" t="s">
        <v>701</v>
      </c>
      <c r="B337" t="s">
        <v>702</v>
      </c>
      <c r="C337" t="s">
        <v>44</v>
      </c>
      <c r="D337">
        <v>10</v>
      </c>
      <c r="E337">
        <v>103</v>
      </c>
      <c r="F337">
        <v>903818</v>
      </c>
      <c r="G337">
        <v>23.28</v>
      </c>
      <c r="H337">
        <v>0.42</v>
      </c>
      <c r="I337">
        <v>658059</v>
      </c>
      <c r="J337">
        <v>644410</v>
      </c>
      <c r="K337">
        <v>1130</v>
      </c>
      <c r="L337">
        <v>86</v>
      </c>
      <c r="M337">
        <v>85</v>
      </c>
      <c r="N337">
        <v>625</v>
      </c>
      <c r="O337">
        <v>620454</v>
      </c>
      <c r="P337">
        <v>80</v>
      </c>
      <c r="Q337" t="s">
        <v>27</v>
      </c>
      <c r="R337">
        <v>77</v>
      </c>
      <c r="S337" t="s">
        <v>28</v>
      </c>
    </row>
    <row r="338" spans="1:19">
      <c r="A338" t="s">
        <v>703</v>
      </c>
      <c r="B338" t="s">
        <v>704</v>
      </c>
      <c r="C338" t="s">
        <v>64</v>
      </c>
      <c r="D338">
        <v>14</v>
      </c>
      <c r="E338">
        <v>25</v>
      </c>
      <c r="F338">
        <v>4277996</v>
      </c>
      <c r="G338">
        <v>5.22</v>
      </c>
      <c r="H338">
        <v>0.49</v>
      </c>
      <c r="I338">
        <v>-43720</v>
      </c>
      <c r="J338">
        <v>741884</v>
      </c>
      <c r="K338">
        <v>1268</v>
      </c>
      <c r="L338">
        <v>68</v>
      </c>
      <c r="M338">
        <v>79</v>
      </c>
      <c r="N338">
        <v>5400</v>
      </c>
      <c r="O338">
        <v>2593655</v>
      </c>
      <c r="P338">
        <v>77</v>
      </c>
      <c r="Q338" t="s">
        <v>22</v>
      </c>
      <c r="R338">
        <v>58</v>
      </c>
      <c r="S338" t="s">
        <v>23</v>
      </c>
    </row>
    <row r="339" spans="1:19">
      <c r="A339" t="s">
        <v>705</v>
      </c>
      <c r="B339" t="s">
        <v>706</v>
      </c>
      <c r="C339" t="s">
        <v>31</v>
      </c>
      <c r="D339">
        <v>2</v>
      </c>
      <c r="E339">
        <v>21</v>
      </c>
      <c r="F339">
        <v>4159946</v>
      </c>
      <c r="G339">
        <v>7.14</v>
      </c>
      <c r="H339">
        <v>1.1599999999999999</v>
      </c>
      <c r="I339">
        <v>48014</v>
      </c>
      <c r="J339">
        <v>701739</v>
      </c>
      <c r="K339">
        <v>176</v>
      </c>
      <c r="L339">
        <v>61</v>
      </c>
      <c r="M339">
        <v>69</v>
      </c>
      <c r="N339">
        <v>3831</v>
      </c>
      <c r="O339">
        <v>3677390</v>
      </c>
      <c r="P339">
        <v>75</v>
      </c>
      <c r="Q339" t="s">
        <v>27</v>
      </c>
      <c r="R339">
        <v>46</v>
      </c>
      <c r="S339" t="s">
        <v>23</v>
      </c>
    </row>
    <row r="340" spans="1:19">
      <c r="A340" t="s">
        <v>707</v>
      </c>
      <c r="B340" t="s">
        <v>708</v>
      </c>
      <c r="C340" t="s">
        <v>38</v>
      </c>
      <c r="D340">
        <v>3</v>
      </c>
      <c r="E340">
        <v>91</v>
      </c>
      <c r="F340">
        <v>4509876</v>
      </c>
      <c r="G340">
        <v>18.489999999999998</v>
      </c>
      <c r="H340">
        <v>0.57999999999999996</v>
      </c>
      <c r="I340">
        <v>785553</v>
      </c>
      <c r="J340">
        <v>528151</v>
      </c>
      <c r="K340">
        <v>1514</v>
      </c>
      <c r="L340">
        <v>74</v>
      </c>
      <c r="M340">
        <v>74</v>
      </c>
      <c r="N340">
        <v>7322</v>
      </c>
      <c r="O340">
        <v>4154546</v>
      </c>
      <c r="P340">
        <v>75</v>
      </c>
      <c r="Q340" t="s">
        <v>27</v>
      </c>
      <c r="R340">
        <v>68</v>
      </c>
      <c r="S340" t="s">
        <v>28</v>
      </c>
    </row>
    <row r="341" spans="1:19">
      <c r="A341" t="s">
        <v>709</v>
      </c>
      <c r="B341" t="s">
        <v>710</v>
      </c>
      <c r="C341" t="s">
        <v>64</v>
      </c>
      <c r="D341">
        <v>17</v>
      </c>
      <c r="E341">
        <v>214</v>
      </c>
      <c r="F341">
        <v>875781</v>
      </c>
      <c r="G341">
        <v>10.18</v>
      </c>
      <c r="H341">
        <v>1.1399999999999999</v>
      </c>
      <c r="I341">
        <v>803880</v>
      </c>
      <c r="J341">
        <v>105724</v>
      </c>
      <c r="K341">
        <v>1568</v>
      </c>
      <c r="L341">
        <v>66</v>
      </c>
      <c r="M341">
        <v>83</v>
      </c>
      <c r="N341">
        <v>6179</v>
      </c>
      <c r="O341">
        <v>602442</v>
      </c>
      <c r="P341">
        <v>63</v>
      </c>
      <c r="Q341" t="s">
        <v>27</v>
      </c>
      <c r="R341">
        <v>45</v>
      </c>
      <c r="S341" t="s">
        <v>23</v>
      </c>
    </row>
    <row r="342" spans="1:19">
      <c r="A342" t="s">
        <v>711</v>
      </c>
      <c r="B342" t="s">
        <v>712</v>
      </c>
      <c r="C342" t="s">
        <v>31</v>
      </c>
      <c r="D342">
        <v>9</v>
      </c>
      <c r="E342">
        <v>65</v>
      </c>
      <c r="F342">
        <v>4708057</v>
      </c>
      <c r="G342">
        <v>19.73</v>
      </c>
      <c r="H342">
        <v>0.14000000000000001</v>
      </c>
      <c r="I342">
        <v>470550</v>
      </c>
      <c r="J342">
        <v>854511</v>
      </c>
      <c r="K342">
        <v>1388</v>
      </c>
      <c r="L342">
        <v>86</v>
      </c>
      <c r="M342">
        <v>68</v>
      </c>
      <c r="N342">
        <v>902</v>
      </c>
      <c r="O342">
        <v>3986074</v>
      </c>
      <c r="P342">
        <v>82</v>
      </c>
      <c r="Q342" t="s">
        <v>27</v>
      </c>
      <c r="R342">
        <v>80</v>
      </c>
      <c r="S342" t="s">
        <v>137</v>
      </c>
    </row>
    <row r="343" spans="1:19">
      <c r="A343" t="s">
        <v>713</v>
      </c>
      <c r="B343" t="s">
        <v>714</v>
      </c>
      <c r="C343" t="s">
        <v>21</v>
      </c>
      <c r="D343">
        <v>12</v>
      </c>
      <c r="E343">
        <v>44</v>
      </c>
      <c r="F343">
        <v>1434958</v>
      </c>
      <c r="G343">
        <v>9.56</v>
      </c>
      <c r="H343">
        <v>0.5</v>
      </c>
      <c r="I343">
        <v>634821</v>
      </c>
      <c r="J343">
        <v>323571</v>
      </c>
      <c r="K343">
        <v>818</v>
      </c>
      <c r="L343">
        <v>45</v>
      </c>
      <c r="M343">
        <v>74</v>
      </c>
      <c r="N343">
        <v>6420</v>
      </c>
      <c r="O343">
        <v>1013101</v>
      </c>
      <c r="P343">
        <v>80</v>
      </c>
      <c r="Q343" t="s">
        <v>27</v>
      </c>
      <c r="R343">
        <v>63</v>
      </c>
      <c r="S343" t="s">
        <v>28</v>
      </c>
    </row>
    <row r="344" spans="1:19">
      <c r="A344" t="s">
        <v>715</v>
      </c>
      <c r="B344" t="s">
        <v>716</v>
      </c>
      <c r="C344" t="s">
        <v>64</v>
      </c>
      <c r="D344">
        <v>2</v>
      </c>
      <c r="E344">
        <v>17</v>
      </c>
      <c r="F344">
        <v>3888319</v>
      </c>
      <c r="G344">
        <v>18.899999999999999</v>
      </c>
      <c r="H344">
        <v>0.3</v>
      </c>
      <c r="I344">
        <v>-21869</v>
      </c>
      <c r="J344">
        <v>439604</v>
      </c>
      <c r="K344">
        <v>606</v>
      </c>
      <c r="L344">
        <v>56</v>
      </c>
      <c r="M344">
        <v>80</v>
      </c>
      <c r="N344">
        <v>4901</v>
      </c>
      <c r="O344">
        <v>2982773</v>
      </c>
      <c r="P344">
        <v>91</v>
      </c>
      <c r="Q344" t="s">
        <v>27</v>
      </c>
      <c r="R344">
        <v>78</v>
      </c>
      <c r="S344" t="s">
        <v>28</v>
      </c>
    </row>
    <row r="345" spans="1:19">
      <c r="A345" t="s">
        <v>717</v>
      </c>
      <c r="B345" t="s">
        <v>718</v>
      </c>
      <c r="C345" t="s">
        <v>64</v>
      </c>
      <c r="D345">
        <v>20</v>
      </c>
      <c r="E345">
        <v>109</v>
      </c>
      <c r="F345">
        <v>2228518</v>
      </c>
      <c r="G345">
        <v>22.44</v>
      </c>
      <c r="H345">
        <v>0.85</v>
      </c>
      <c r="I345">
        <v>-61344</v>
      </c>
      <c r="J345">
        <v>773212</v>
      </c>
      <c r="K345">
        <v>1615</v>
      </c>
      <c r="L345">
        <v>75</v>
      </c>
      <c r="M345">
        <v>88</v>
      </c>
      <c r="N345">
        <v>3931</v>
      </c>
      <c r="O345">
        <v>1597368</v>
      </c>
      <c r="P345">
        <v>81</v>
      </c>
      <c r="Q345" t="s">
        <v>27</v>
      </c>
      <c r="R345">
        <v>67</v>
      </c>
      <c r="S345" t="s">
        <v>28</v>
      </c>
    </row>
    <row r="346" spans="1:19">
      <c r="A346" t="s">
        <v>719</v>
      </c>
      <c r="B346" t="s">
        <v>720</v>
      </c>
      <c r="C346" t="s">
        <v>26</v>
      </c>
      <c r="D346">
        <v>8</v>
      </c>
      <c r="E346">
        <v>138</v>
      </c>
      <c r="F346">
        <v>587004</v>
      </c>
      <c r="G346">
        <v>13.86</v>
      </c>
      <c r="H346">
        <v>0.26</v>
      </c>
      <c r="I346">
        <v>138745</v>
      </c>
      <c r="J346">
        <v>950915</v>
      </c>
      <c r="K346">
        <v>968</v>
      </c>
      <c r="L346">
        <v>93</v>
      </c>
      <c r="M346">
        <v>73</v>
      </c>
      <c r="N346">
        <v>2530</v>
      </c>
      <c r="O346">
        <v>448840</v>
      </c>
      <c r="P346">
        <v>95</v>
      </c>
      <c r="Q346" t="s">
        <v>22</v>
      </c>
      <c r="R346">
        <v>76</v>
      </c>
      <c r="S346" t="s">
        <v>28</v>
      </c>
    </row>
    <row r="347" spans="1:19">
      <c r="A347" t="s">
        <v>721</v>
      </c>
      <c r="B347" t="s">
        <v>722</v>
      </c>
      <c r="C347" t="s">
        <v>41</v>
      </c>
      <c r="D347">
        <v>13</v>
      </c>
      <c r="E347">
        <v>150</v>
      </c>
      <c r="F347">
        <v>2449610</v>
      </c>
      <c r="G347">
        <v>19.440000000000001</v>
      </c>
      <c r="H347">
        <v>1.1599999999999999</v>
      </c>
      <c r="I347">
        <v>860970</v>
      </c>
      <c r="J347">
        <v>877533</v>
      </c>
      <c r="K347">
        <v>550</v>
      </c>
      <c r="L347">
        <v>74</v>
      </c>
      <c r="M347">
        <v>97</v>
      </c>
      <c r="N347">
        <v>5184</v>
      </c>
      <c r="O347">
        <v>1598183</v>
      </c>
      <c r="P347">
        <v>79</v>
      </c>
      <c r="Q347" t="s">
        <v>27</v>
      </c>
      <c r="R347">
        <v>58</v>
      </c>
      <c r="S347" t="s">
        <v>23</v>
      </c>
    </row>
    <row r="348" spans="1:19">
      <c r="A348" t="s">
        <v>723</v>
      </c>
      <c r="B348" t="s">
        <v>724</v>
      </c>
      <c r="C348" t="s">
        <v>41</v>
      </c>
      <c r="D348">
        <v>7</v>
      </c>
      <c r="E348">
        <v>50</v>
      </c>
      <c r="F348">
        <v>2550259</v>
      </c>
      <c r="G348">
        <v>13.5</v>
      </c>
      <c r="H348">
        <v>0.26</v>
      </c>
      <c r="I348">
        <v>349585</v>
      </c>
      <c r="J348">
        <v>872421</v>
      </c>
      <c r="K348">
        <v>677</v>
      </c>
      <c r="L348">
        <v>93</v>
      </c>
      <c r="M348">
        <v>65</v>
      </c>
      <c r="N348">
        <v>7192</v>
      </c>
      <c r="O348">
        <v>1593835</v>
      </c>
      <c r="P348">
        <v>63</v>
      </c>
      <c r="Q348" t="s">
        <v>22</v>
      </c>
      <c r="R348">
        <v>66</v>
      </c>
      <c r="S348" t="s">
        <v>28</v>
      </c>
    </row>
    <row r="349" spans="1:19">
      <c r="A349" t="s">
        <v>725</v>
      </c>
      <c r="B349" t="s">
        <v>726</v>
      </c>
      <c r="C349" t="s">
        <v>110</v>
      </c>
      <c r="D349">
        <v>17</v>
      </c>
      <c r="E349">
        <v>108</v>
      </c>
      <c r="F349">
        <v>3588011</v>
      </c>
      <c r="G349">
        <v>24.07</v>
      </c>
      <c r="H349">
        <v>1.17</v>
      </c>
      <c r="I349">
        <v>-18928</v>
      </c>
      <c r="J349">
        <v>766728</v>
      </c>
      <c r="K349">
        <v>1641</v>
      </c>
      <c r="L349">
        <v>64</v>
      </c>
      <c r="M349">
        <v>80</v>
      </c>
      <c r="N349">
        <v>2550</v>
      </c>
      <c r="O349">
        <v>3378462</v>
      </c>
      <c r="P349">
        <v>98</v>
      </c>
      <c r="Q349" t="s">
        <v>27</v>
      </c>
      <c r="R349">
        <v>68</v>
      </c>
      <c r="S349" t="s">
        <v>28</v>
      </c>
    </row>
    <row r="350" spans="1:19">
      <c r="A350" t="s">
        <v>727</v>
      </c>
      <c r="B350" t="s">
        <v>728</v>
      </c>
      <c r="C350" t="s">
        <v>75</v>
      </c>
      <c r="D350">
        <v>13</v>
      </c>
      <c r="E350">
        <v>104</v>
      </c>
      <c r="F350">
        <v>1791428</v>
      </c>
      <c r="G350">
        <v>20.329999999999998</v>
      </c>
      <c r="H350">
        <v>0.24</v>
      </c>
      <c r="I350">
        <v>577007</v>
      </c>
      <c r="J350">
        <v>541084</v>
      </c>
      <c r="K350">
        <v>181</v>
      </c>
      <c r="L350">
        <v>77</v>
      </c>
      <c r="M350">
        <v>80</v>
      </c>
      <c r="N350">
        <v>6073</v>
      </c>
      <c r="O350">
        <v>1293356</v>
      </c>
      <c r="P350">
        <v>83</v>
      </c>
      <c r="Q350" t="s">
        <v>27</v>
      </c>
      <c r="R350">
        <v>78</v>
      </c>
      <c r="S350" t="s">
        <v>28</v>
      </c>
    </row>
    <row r="351" spans="1:19">
      <c r="A351" t="s">
        <v>729</v>
      </c>
      <c r="B351" t="s">
        <v>730</v>
      </c>
      <c r="C351" t="s">
        <v>55</v>
      </c>
      <c r="D351">
        <v>19</v>
      </c>
      <c r="E351">
        <v>244</v>
      </c>
      <c r="F351">
        <v>4988981</v>
      </c>
      <c r="G351">
        <v>18.72</v>
      </c>
      <c r="H351">
        <v>0.52</v>
      </c>
      <c r="I351">
        <v>22484</v>
      </c>
      <c r="J351">
        <v>259700</v>
      </c>
      <c r="K351">
        <v>648</v>
      </c>
      <c r="L351">
        <v>67</v>
      </c>
      <c r="M351">
        <v>84</v>
      </c>
      <c r="N351">
        <v>3780</v>
      </c>
      <c r="O351">
        <v>2844375</v>
      </c>
      <c r="P351">
        <v>94</v>
      </c>
      <c r="Q351" t="s">
        <v>27</v>
      </c>
      <c r="R351">
        <v>75</v>
      </c>
      <c r="S351" t="s">
        <v>28</v>
      </c>
    </row>
    <row r="352" spans="1:19">
      <c r="A352" t="s">
        <v>731</v>
      </c>
      <c r="B352" t="s">
        <v>732</v>
      </c>
      <c r="C352" t="s">
        <v>21</v>
      </c>
      <c r="D352">
        <v>2</v>
      </c>
      <c r="E352">
        <v>93</v>
      </c>
      <c r="F352">
        <v>3194123</v>
      </c>
      <c r="G352">
        <v>18.7</v>
      </c>
      <c r="H352">
        <v>0.31</v>
      </c>
      <c r="I352">
        <v>28939</v>
      </c>
      <c r="J352">
        <v>520082</v>
      </c>
      <c r="K352">
        <v>355</v>
      </c>
      <c r="L352">
        <v>86</v>
      </c>
      <c r="M352">
        <v>96</v>
      </c>
      <c r="N352">
        <v>3563</v>
      </c>
      <c r="O352">
        <v>2121609</v>
      </c>
      <c r="P352">
        <v>63</v>
      </c>
      <c r="Q352" t="s">
        <v>27</v>
      </c>
      <c r="R352">
        <v>70</v>
      </c>
      <c r="S352" t="s">
        <v>28</v>
      </c>
    </row>
    <row r="353" spans="1:19">
      <c r="A353" t="s">
        <v>733</v>
      </c>
      <c r="B353" t="s">
        <v>734</v>
      </c>
      <c r="C353" t="s">
        <v>38</v>
      </c>
      <c r="D353">
        <v>15</v>
      </c>
      <c r="E353">
        <v>86</v>
      </c>
      <c r="F353">
        <v>1328218</v>
      </c>
      <c r="G353">
        <v>4.3499999999999996</v>
      </c>
      <c r="H353">
        <v>0.34</v>
      </c>
      <c r="I353">
        <v>708329</v>
      </c>
      <c r="J353">
        <v>889416</v>
      </c>
      <c r="K353">
        <v>1937</v>
      </c>
      <c r="L353">
        <v>68</v>
      </c>
      <c r="M353">
        <v>70</v>
      </c>
      <c r="N353">
        <v>7554</v>
      </c>
      <c r="O353">
        <v>904381</v>
      </c>
      <c r="P353">
        <v>69</v>
      </c>
      <c r="Q353" t="s">
        <v>27</v>
      </c>
      <c r="R353">
        <v>58</v>
      </c>
      <c r="S353" t="s">
        <v>23</v>
      </c>
    </row>
    <row r="354" spans="1:19">
      <c r="A354" t="s">
        <v>735</v>
      </c>
      <c r="B354" t="s">
        <v>736</v>
      </c>
      <c r="C354" t="s">
        <v>55</v>
      </c>
      <c r="D354">
        <v>16</v>
      </c>
      <c r="E354">
        <v>132</v>
      </c>
      <c r="F354">
        <v>2220859</v>
      </c>
      <c r="G354">
        <v>9.5</v>
      </c>
      <c r="H354">
        <v>0.53</v>
      </c>
      <c r="I354">
        <v>752910</v>
      </c>
      <c r="J354">
        <v>920239</v>
      </c>
      <c r="K354">
        <v>750</v>
      </c>
      <c r="L354">
        <v>73</v>
      </c>
      <c r="M354">
        <v>94</v>
      </c>
      <c r="N354">
        <v>7540</v>
      </c>
      <c r="O354">
        <v>1942667</v>
      </c>
      <c r="P354">
        <v>77</v>
      </c>
      <c r="Q354" t="s">
        <v>27</v>
      </c>
      <c r="R354">
        <v>61</v>
      </c>
      <c r="S354" t="s">
        <v>28</v>
      </c>
    </row>
    <row r="355" spans="1:19">
      <c r="A355" t="s">
        <v>737</v>
      </c>
      <c r="B355" t="s">
        <v>738</v>
      </c>
      <c r="C355" t="s">
        <v>110</v>
      </c>
      <c r="D355">
        <v>6</v>
      </c>
      <c r="E355">
        <v>192</v>
      </c>
      <c r="F355">
        <v>3842037</v>
      </c>
      <c r="G355">
        <v>4.6399999999999997</v>
      </c>
      <c r="H355">
        <v>0.32</v>
      </c>
      <c r="I355">
        <v>579695</v>
      </c>
      <c r="J355">
        <v>376529</v>
      </c>
      <c r="K355">
        <v>1218</v>
      </c>
      <c r="L355">
        <v>64</v>
      </c>
      <c r="M355">
        <v>88</v>
      </c>
      <c r="N355">
        <v>1177</v>
      </c>
      <c r="O355">
        <v>3415177</v>
      </c>
      <c r="P355">
        <v>71</v>
      </c>
      <c r="Q355" t="s">
        <v>27</v>
      </c>
      <c r="R355">
        <v>59</v>
      </c>
      <c r="S355" t="s">
        <v>23</v>
      </c>
    </row>
    <row r="356" spans="1:19">
      <c r="A356" t="s">
        <v>739</v>
      </c>
      <c r="B356" t="s">
        <v>740</v>
      </c>
      <c r="C356" t="s">
        <v>41</v>
      </c>
      <c r="D356">
        <v>16</v>
      </c>
      <c r="E356">
        <v>100</v>
      </c>
      <c r="F356">
        <v>744612</v>
      </c>
      <c r="G356">
        <v>11.33</v>
      </c>
      <c r="H356">
        <v>0.96</v>
      </c>
      <c r="I356">
        <v>237145</v>
      </c>
      <c r="J356">
        <v>676596</v>
      </c>
      <c r="K356">
        <v>637</v>
      </c>
      <c r="L356">
        <v>57</v>
      </c>
      <c r="M356">
        <v>69</v>
      </c>
      <c r="N356">
        <v>1334</v>
      </c>
      <c r="O356">
        <v>622329</v>
      </c>
      <c r="P356">
        <v>70</v>
      </c>
      <c r="Q356" t="s">
        <v>27</v>
      </c>
      <c r="R356">
        <v>52</v>
      </c>
      <c r="S356" t="s">
        <v>23</v>
      </c>
    </row>
    <row r="357" spans="1:19">
      <c r="A357" t="s">
        <v>741</v>
      </c>
      <c r="B357" t="s">
        <v>742</v>
      </c>
      <c r="C357" t="s">
        <v>38</v>
      </c>
      <c r="D357">
        <v>15</v>
      </c>
      <c r="E357">
        <v>246</v>
      </c>
      <c r="F357">
        <v>762663</v>
      </c>
      <c r="G357">
        <v>18.440000000000001</v>
      </c>
      <c r="H357">
        <v>0.49</v>
      </c>
      <c r="I357">
        <v>257584</v>
      </c>
      <c r="J357">
        <v>553753</v>
      </c>
      <c r="K357">
        <v>1068</v>
      </c>
      <c r="L357">
        <v>49</v>
      </c>
      <c r="M357">
        <v>72</v>
      </c>
      <c r="N357">
        <v>1210</v>
      </c>
      <c r="O357">
        <v>413209</v>
      </c>
      <c r="P357">
        <v>61</v>
      </c>
      <c r="Q357" t="s">
        <v>27</v>
      </c>
      <c r="R357">
        <v>65</v>
      </c>
      <c r="S357" t="s">
        <v>28</v>
      </c>
    </row>
    <row r="358" spans="1:19">
      <c r="A358" t="s">
        <v>743</v>
      </c>
      <c r="B358" t="s">
        <v>744</v>
      </c>
      <c r="C358" t="s">
        <v>26</v>
      </c>
      <c r="D358">
        <v>7</v>
      </c>
      <c r="E358">
        <v>127</v>
      </c>
      <c r="F358">
        <v>3599204</v>
      </c>
      <c r="G358">
        <v>13.24</v>
      </c>
      <c r="H358">
        <v>0.64</v>
      </c>
      <c r="I358">
        <v>844722</v>
      </c>
      <c r="J358">
        <v>447420</v>
      </c>
      <c r="K358">
        <v>1566</v>
      </c>
      <c r="L358">
        <v>45</v>
      </c>
      <c r="M358">
        <v>63</v>
      </c>
      <c r="N358">
        <v>2044</v>
      </c>
      <c r="O358">
        <v>2132964</v>
      </c>
      <c r="P358">
        <v>83</v>
      </c>
      <c r="Q358" t="s">
        <v>27</v>
      </c>
      <c r="R358">
        <v>64</v>
      </c>
      <c r="S358" t="s">
        <v>28</v>
      </c>
    </row>
    <row r="359" spans="1:19">
      <c r="A359" t="s">
        <v>745</v>
      </c>
      <c r="B359" t="s">
        <v>746</v>
      </c>
      <c r="C359" t="s">
        <v>110</v>
      </c>
      <c r="D359">
        <v>9</v>
      </c>
      <c r="E359">
        <v>150</v>
      </c>
      <c r="F359">
        <v>3291347</v>
      </c>
      <c r="G359">
        <v>13.22</v>
      </c>
      <c r="H359">
        <v>0.24</v>
      </c>
      <c r="I359">
        <v>648947</v>
      </c>
      <c r="J359">
        <v>627501</v>
      </c>
      <c r="K359">
        <v>534</v>
      </c>
      <c r="L359">
        <v>81</v>
      </c>
      <c r="M359">
        <v>80</v>
      </c>
      <c r="N359">
        <v>6716</v>
      </c>
      <c r="O359">
        <v>2851349</v>
      </c>
      <c r="P359">
        <v>73</v>
      </c>
      <c r="Q359" t="s">
        <v>22</v>
      </c>
      <c r="R359">
        <v>69</v>
      </c>
      <c r="S359" t="s">
        <v>28</v>
      </c>
    </row>
    <row r="360" spans="1:19">
      <c r="A360" t="s">
        <v>747</v>
      </c>
      <c r="B360" t="s">
        <v>748</v>
      </c>
      <c r="C360" t="s">
        <v>31</v>
      </c>
      <c r="D360">
        <v>8</v>
      </c>
      <c r="E360">
        <v>250</v>
      </c>
      <c r="F360">
        <v>2260854</v>
      </c>
      <c r="G360">
        <v>12.55</v>
      </c>
      <c r="H360">
        <v>0.24</v>
      </c>
      <c r="I360">
        <v>103952</v>
      </c>
      <c r="J360">
        <v>764285</v>
      </c>
      <c r="K360">
        <v>1227</v>
      </c>
      <c r="L360">
        <v>93</v>
      </c>
      <c r="M360">
        <v>93</v>
      </c>
      <c r="N360">
        <v>5386</v>
      </c>
      <c r="O360">
        <v>1611158</v>
      </c>
      <c r="P360">
        <v>62</v>
      </c>
      <c r="Q360" t="s">
        <v>22</v>
      </c>
      <c r="R360">
        <v>65</v>
      </c>
      <c r="S360" t="s">
        <v>28</v>
      </c>
    </row>
    <row r="361" spans="1:19">
      <c r="A361" t="s">
        <v>749</v>
      </c>
      <c r="B361" t="s">
        <v>750</v>
      </c>
      <c r="C361" t="s">
        <v>55</v>
      </c>
      <c r="D361">
        <v>18</v>
      </c>
      <c r="E361">
        <v>137</v>
      </c>
      <c r="F361">
        <v>4135117</v>
      </c>
      <c r="G361">
        <v>12.57</v>
      </c>
      <c r="H361">
        <v>1.06</v>
      </c>
      <c r="I361">
        <v>298480</v>
      </c>
      <c r="J361">
        <v>860659</v>
      </c>
      <c r="K361">
        <v>594</v>
      </c>
      <c r="L361">
        <v>79</v>
      </c>
      <c r="M361">
        <v>64</v>
      </c>
      <c r="N361">
        <v>6738</v>
      </c>
      <c r="O361">
        <v>3018544</v>
      </c>
      <c r="P361">
        <v>89</v>
      </c>
      <c r="Q361" t="s">
        <v>22</v>
      </c>
      <c r="R361">
        <v>57</v>
      </c>
      <c r="S361" t="s">
        <v>23</v>
      </c>
    </row>
    <row r="362" spans="1:19">
      <c r="A362" t="s">
        <v>751</v>
      </c>
      <c r="B362" t="s">
        <v>752</v>
      </c>
      <c r="C362" t="s">
        <v>26</v>
      </c>
      <c r="D362">
        <v>16</v>
      </c>
      <c r="E362">
        <v>152</v>
      </c>
      <c r="F362">
        <v>2945296</v>
      </c>
      <c r="G362">
        <v>2.75</v>
      </c>
      <c r="H362">
        <v>0.73</v>
      </c>
      <c r="I362">
        <v>887135</v>
      </c>
      <c r="J362">
        <v>771074</v>
      </c>
      <c r="K362">
        <v>1686</v>
      </c>
      <c r="L362">
        <v>57</v>
      </c>
      <c r="M362">
        <v>63</v>
      </c>
      <c r="N362">
        <v>2126</v>
      </c>
      <c r="O362">
        <v>2561367</v>
      </c>
      <c r="P362">
        <v>99</v>
      </c>
      <c r="Q362" t="s">
        <v>22</v>
      </c>
      <c r="R362">
        <v>58</v>
      </c>
      <c r="S362" t="s">
        <v>23</v>
      </c>
    </row>
    <row r="363" spans="1:19">
      <c r="A363" t="s">
        <v>753</v>
      </c>
      <c r="B363" t="s">
        <v>754</v>
      </c>
      <c r="C363" t="s">
        <v>64</v>
      </c>
      <c r="D363">
        <v>7</v>
      </c>
      <c r="E363">
        <v>103</v>
      </c>
      <c r="F363">
        <v>1763502</v>
      </c>
      <c r="G363">
        <v>3.96</v>
      </c>
      <c r="H363">
        <v>0.87</v>
      </c>
      <c r="I363">
        <v>-22776</v>
      </c>
      <c r="J363">
        <v>824211</v>
      </c>
      <c r="K363">
        <v>1056</v>
      </c>
      <c r="L363">
        <v>70</v>
      </c>
      <c r="M363">
        <v>97</v>
      </c>
      <c r="N363">
        <v>1706</v>
      </c>
      <c r="O363">
        <v>1493501</v>
      </c>
      <c r="P363">
        <v>81</v>
      </c>
      <c r="Q363" t="s">
        <v>22</v>
      </c>
      <c r="R363">
        <v>50</v>
      </c>
      <c r="S363" t="s">
        <v>23</v>
      </c>
    </row>
    <row r="364" spans="1:19">
      <c r="A364" t="s">
        <v>755</v>
      </c>
      <c r="B364" t="s">
        <v>371</v>
      </c>
      <c r="C364" t="s">
        <v>21</v>
      </c>
      <c r="D364">
        <v>9</v>
      </c>
      <c r="E364">
        <v>111</v>
      </c>
      <c r="F364">
        <v>3143065</v>
      </c>
      <c r="G364">
        <v>21.44</v>
      </c>
      <c r="H364">
        <v>0.12</v>
      </c>
      <c r="I364">
        <v>778479</v>
      </c>
      <c r="J364">
        <v>701445</v>
      </c>
      <c r="K364">
        <v>1542</v>
      </c>
      <c r="L364">
        <v>77</v>
      </c>
      <c r="M364">
        <v>70</v>
      </c>
      <c r="N364">
        <v>3466</v>
      </c>
      <c r="O364">
        <v>2181693</v>
      </c>
      <c r="P364">
        <v>73</v>
      </c>
      <c r="Q364" t="s">
        <v>22</v>
      </c>
      <c r="R364">
        <v>79</v>
      </c>
      <c r="S364" t="s">
        <v>28</v>
      </c>
    </row>
    <row r="365" spans="1:19">
      <c r="A365" t="s">
        <v>756</v>
      </c>
      <c r="B365" t="s">
        <v>757</v>
      </c>
      <c r="C365" t="s">
        <v>31</v>
      </c>
      <c r="D365">
        <v>15</v>
      </c>
      <c r="E365">
        <v>58</v>
      </c>
      <c r="F365">
        <v>521504</v>
      </c>
      <c r="G365">
        <v>3.06</v>
      </c>
      <c r="H365">
        <v>0.66</v>
      </c>
      <c r="I365">
        <v>468363</v>
      </c>
      <c r="J365">
        <v>559892</v>
      </c>
      <c r="K365">
        <v>525</v>
      </c>
      <c r="L365">
        <v>83</v>
      </c>
      <c r="M365">
        <v>77</v>
      </c>
      <c r="N365">
        <v>5196</v>
      </c>
      <c r="O365">
        <v>379015</v>
      </c>
      <c r="P365">
        <v>93</v>
      </c>
      <c r="Q365" t="s">
        <v>27</v>
      </c>
      <c r="R365">
        <v>57</v>
      </c>
      <c r="S365" t="s">
        <v>23</v>
      </c>
    </row>
    <row r="366" spans="1:19">
      <c r="A366" t="s">
        <v>758</v>
      </c>
      <c r="B366" t="s">
        <v>759</v>
      </c>
      <c r="C366" t="s">
        <v>26</v>
      </c>
      <c r="D366">
        <v>10</v>
      </c>
      <c r="E366">
        <v>217</v>
      </c>
      <c r="F366">
        <v>2946682</v>
      </c>
      <c r="G366">
        <v>14.63</v>
      </c>
      <c r="H366">
        <v>0.76</v>
      </c>
      <c r="I366">
        <v>470820</v>
      </c>
      <c r="J366">
        <v>365677</v>
      </c>
      <c r="K366">
        <v>1710</v>
      </c>
      <c r="L366">
        <v>63</v>
      </c>
      <c r="M366">
        <v>98</v>
      </c>
      <c r="N366">
        <v>5220</v>
      </c>
      <c r="O366">
        <v>2722567</v>
      </c>
      <c r="P366">
        <v>100</v>
      </c>
      <c r="Q366" t="s">
        <v>22</v>
      </c>
      <c r="R366">
        <v>68</v>
      </c>
      <c r="S366" t="s">
        <v>28</v>
      </c>
    </row>
    <row r="367" spans="1:19">
      <c r="A367" t="s">
        <v>760</v>
      </c>
      <c r="B367" t="s">
        <v>761</v>
      </c>
      <c r="C367" t="s">
        <v>55</v>
      </c>
      <c r="D367">
        <v>8</v>
      </c>
      <c r="E367">
        <v>201</v>
      </c>
      <c r="F367">
        <v>2880420</v>
      </c>
      <c r="G367">
        <v>6.77</v>
      </c>
      <c r="H367">
        <v>0.26</v>
      </c>
      <c r="I367">
        <v>524186</v>
      </c>
      <c r="J367">
        <v>355398</v>
      </c>
      <c r="K367">
        <v>1950</v>
      </c>
      <c r="L367">
        <v>86</v>
      </c>
      <c r="M367">
        <v>83</v>
      </c>
      <c r="N367">
        <v>5858</v>
      </c>
      <c r="O367">
        <v>2174823</v>
      </c>
      <c r="P367">
        <v>68</v>
      </c>
      <c r="Q367" t="s">
        <v>22</v>
      </c>
      <c r="R367">
        <v>61</v>
      </c>
      <c r="S367" t="s">
        <v>28</v>
      </c>
    </row>
    <row r="368" spans="1:19">
      <c r="A368" t="s">
        <v>762</v>
      </c>
      <c r="B368" t="s">
        <v>763</v>
      </c>
      <c r="C368" t="s">
        <v>38</v>
      </c>
      <c r="D368">
        <v>18</v>
      </c>
      <c r="E368">
        <v>63</v>
      </c>
      <c r="F368">
        <v>2798248</v>
      </c>
      <c r="G368">
        <v>21.84</v>
      </c>
      <c r="H368">
        <v>0.59</v>
      </c>
      <c r="I368">
        <v>924404</v>
      </c>
      <c r="J368">
        <v>511683</v>
      </c>
      <c r="K368">
        <v>469</v>
      </c>
      <c r="L368">
        <v>76</v>
      </c>
      <c r="M368">
        <v>93</v>
      </c>
      <c r="N368">
        <v>6892</v>
      </c>
      <c r="O368">
        <v>1411831</v>
      </c>
      <c r="P368">
        <v>87</v>
      </c>
      <c r="Q368" t="s">
        <v>27</v>
      </c>
      <c r="R368">
        <v>74</v>
      </c>
      <c r="S368" t="s">
        <v>28</v>
      </c>
    </row>
    <row r="369" spans="1:19">
      <c r="A369" t="s">
        <v>764</v>
      </c>
      <c r="B369" t="s">
        <v>765</v>
      </c>
      <c r="C369" t="s">
        <v>110</v>
      </c>
      <c r="D369">
        <v>18</v>
      </c>
      <c r="E369">
        <v>109</v>
      </c>
      <c r="F369">
        <v>3806168</v>
      </c>
      <c r="G369">
        <v>22.25</v>
      </c>
      <c r="H369">
        <v>0.76</v>
      </c>
      <c r="I369">
        <v>-45996</v>
      </c>
      <c r="J369">
        <v>956093</v>
      </c>
      <c r="K369">
        <v>757</v>
      </c>
      <c r="L369">
        <v>79</v>
      </c>
      <c r="M369">
        <v>76</v>
      </c>
      <c r="N369">
        <v>5308</v>
      </c>
      <c r="O369">
        <v>3308141</v>
      </c>
      <c r="P369">
        <v>85</v>
      </c>
      <c r="Q369" t="s">
        <v>22</v>
      </c>
      <c r="R369">
        <v>70</v>
      </c>
      <c r="S369" t="s">
        <v>28</v>
      </c>
    </row>
    <row r="370" spans="1:19">
      <c r="A370" t="s">
        <v>766</v>
      </c>
      <c r="B370" t="s">
        <v>767</v>
      </c>
      <c r="C370" t="s">
        <v>110</v>
      </c>
      <c r="D370">
        <v>17</v>
      </c>
      <c r="E370">
        <v>25</v>
      </c>
      <c r="F370">
        <v>1766608</v>
      </c>
      <c r="G370">
        <v>8.2899999999999991</v>
      </c>
      <c r="H370">
        <v>0.33</v>
      </c>
      <c r="I370">
        <v>60217</v>
      </c>
      <c r="J370">
        <v>518624</v>
      </c>
      <c r="K370">
        <v>974</v>
      </c>
      <c r="L370">
        <v>54</v>
      </c>
      <c r="M370">
        <v>64</v>
      </c>
      <c r="N370">
        <v>6893</v>
      </c>
      <c r="O370">
        <v>1476280</v>
      </c>
      <c r="P370">
        <v>66</v>
      </c>
      <c r="Q370" t="s">
        <v>22</v>
      </c>
      <c r="R370">
        <v>61</v>
      </c>
      <c r="S370" t="s">
        <v>28</v>
      </c>
    </row>
    <row r="371" spans="1:19">
      <c r="A371" t="s">
        <v>768</v>
      </c>
      <c r="B371" t="s">
        <v>769</v>
      </c>
      <c r="C371" t="s">
        <v>75</v>
      </c>
      <c r="D371">
        <v>13</v>
      </c>
      <c r="E371">
        <v>109</v>
      </c>
      <c r="F371">
        <v>3620458</v>
      </c>
      <c r="G371">
        <v>16.8</v>
      </c>
      <c r="H371">
        <v>1.08</v>
      </c>
      <c r="I371">
        <v>113484</v>
      </c>
      <c r="J371">
        <v>724783</v>
      </c>
      <c r="K371">
        <v>405</v>
      </c>
      <c r="L371">
        <v>59</v>
      </c>
      <c r="M371">
        <v>60</v>
      </c>
      <c r="N371">
        <v>2341</v>
      </c>
      <c r="O371">
        <v>3252018</v>
      </c>
      <c r="P371">
        <v>81</v>
      </c>
      <c r="Q371" t="s">
        <v>22</v>
      </c>
      <c r="R371">
        <v>58</v>
      </c>
      <c r="S371" t="s">
        <v>23</v>
      </c>
    </row>
    <row r="372" spans="1:19">
      <c r="A372" t="s">
        <v>770</v>
      </c>
      <c r="B372" t="s">
        <v>771</v>
      </c>
      <c r="C372" t="s">
        <v>44</v>
      </c>
      <c r="D372">
        <v>19</v>
      </c>
      <c r="E372">
        <v>180</v>
      </c>
      <c r="F372">
        <v>820097</v>
      </c>
      <c r="G372">
        <v>4.26</v>
      </c>
      <c r="H372">
        <v>0.23</v>
      </c>
      <c r="I372">
        <v>417626</v>
      </c>
      <c r="J372">
        <v>967909</v>
      </c>
      <c r="K372">
        <v>666</v>
      </c>
      <c r="L372">
        <v>48</v>
      </c>
      <c r="M372">
        <v>75</v>
      </c>
      <c r="N372">
        <v>4311</v>
      </c>
      <c r="O372">
        <v>654725</v>
      </c>
      <c r="P372">
        <v>86</v>
      </c>
      <c r="Q372" t="s">
        <v>22</v>
      </c>
      <c r="R372">
        <v>65</v>
      </c>
      <c r="S372" t="s">
        <v>28</v>
      </c>
    </row>
    <row r="373" spans="1:19">
      <c r="A373" t="s">
        <v>772</v>
      </c>
      <c r="B373" t="s">
        <v>773</v>
      </c>
      <c r="C373" t="s">
        <v>55</v>
      </c>
      <c r="D373">
        <v>6</v>
      </c>
      <c r="E373">
        <v>185</v>
      </c>
      <c r="F373">
        <v>687775</v>
      </c>
      <c r="G373">
        <v>23.33</v>
      </c>
      <c r="H373">
        <v>0.83</v>
      </c>
      <c r="I373">
        <v>864084</v>
      </c>
      <c r="J373">
        <v>207406</v>
      </c>
      <c r="K373">
        <v>107</v>
      </c>
      <c r="L373">
        <v>49</v>
      </c>
      <c r="M373">
        <v>67</v>
      </c>
      <c r="N373">
        <v>6810</v>
      </c>
      <c r="O373">
        <v>546374</v>
      </c>
      <c r="P373">
        <v>94</v>
      </c>
      <c r="Q373" t="s">
        <v>22</v>
      </c>
      <c r="R373">
        <v>73</v>
      </c>
      <c r="S373" t="s">
        <v>28</v>
      </c>
    </row>
    <row r="374" spans="1:19">
      <c r="A374" t="s">
        <v>774</v>
      </c>
      <c r="B374" t="s">
        <v>775</v>
      </c>
      <c r="C374" t="s">
        <v>38</v>
      </c>
      <c r="D374">
        <v>10</v>
      </c>
      <c r="E374">
        <v>209</v>
      </c>
      <c r="F374">
        <v>3677041</v>
      </c>
      <c r="G374">
        <v>21.21</v>
      </c>
      <c r="H374">
        <v>0.65</v>
      </c>
      <c r="I374">
        <v>233728</v>
      </c>
      <c r="J374">
        <v>159503</v>
      </c>
      <c r="K374">
        <v>527</v>
      </c>
      <c r="L374">
        <v>46</v>
      </c>
      <c r="M374">
        <v>65</v>
      </c>
      <c r="N374">
        <v>6241</v>
      </c>
      <c r="O374">
        <v>1856326</v>
      </c>
      <c r="P374">
        <v>60</v>
      </c>
      <c r="Q374" t="s">
        <v>27</v>
      </c>
      <c r="R374">
        <v>64</v>
      </c>
      <c r="S374" t="s">
        <v>28</v>
      </c>
    </row>
    <row r="375" spans="1:19">
      <c r="A375" t="s">
        <v>776</v>
      </c>
      <c r="B375" t="s">
        <v>777</v>
      </c>
      <c r="C375" t="s">
        <v>38</v>
      </c>
      <c r="D375">
        <v>2</v>
      </c>
      <c r="E375">
        <v>60</v>
      </c>
      <c r="F375">
        <v>1540161</v>
      </c>
      <c r="G375">
        <v>23.01</v>
      </c>
      <c r="H375">
        <v>1.1100000000000001</v>
      </c>
      <c r="I375">
        <v>911470</v>
      </c>
      <c r="J375">
        <v>983900</v>
      </c>
      <c r="K375">
        <v>354</v>
      </c>
      <c r="L375">
        <v>61</v>
      </c>
      <c r="M375">
        <v>86</v>
      </c>
      <c r="N375">
        <v>4744</v>
      </c>
      <c r="O375">
        <v>978699</v>
      </c>
      <c r="P375">
        <v>92</v>
      </c>
      <c r="Q375" t="s">
        <v>22</v>
      </c>
      <c r="R375">
        <v>66</v>
      </c>
      <c r="S375" t="s">
        <v>28</v>
      </c>
    </row>
    <row r="376" spans="1:19">
      <c r="A376" t="s">
        <v>778</v>
      </c>
      <c r="B376" t="s">
        <v>779</v>
      </c>
      <c r="C376" t="s">
        <v>26</v>
      </c>
      <c r="D376">
        <v>12</v>
      </c>
      <c r="E376">
        <v>237</v>
      </c>
      <c r="F376">
        <v>4130234</v>
      </c>
      <c r="G376">
        <v>15.63</v>
      </c>
      <c r="H376">
        <v>0.28999999999999998</v>
      </c>
      <c r="I376">
        <v>930785</v>
      </c>
      <c r="J376">
        <v>632363</v>
      </c>
      <c r="K376">
        <v>1444</v>
      </c>
      <c r="L376">
        <v>87</v>
      </c>
      <c r="M376">
        <v>83</v>
      </c>
      <c r="N376">
        <v>1138</v>
      </c>
      <c r="O376">
        <v>3880446</v>
      </c>
      <c r="P376">
        <v>85</v>
      </c>
      <c r="Q376" t="s">
        <v>27</v>
      </c>
      <c r="R376">
        <v>74</v>
      </c>
      <c r="S376" t="s">
        <v>28</v>
      </c>
    </row>
    <row r="377" spans="1:19">
      <c r="A377" t="s">
        <v>780</v>
      </c>
      <c r="B377" t="s">
        <v>781</v>
      </c>
      <c r="C377" t="s">
        <v>110</v>
      </c>
      <c r="D377">
        <v>12</v>
      </c>
      <c r="E377">
        <v>72</v>
      </c>
      <c r="F377">
        <v>4605685</v>
      </c>
      <c r="G377">
        <v>4.5199999999999996</v>
      </c>
      <c r="H377">
        <v>0.72</v>
      </c>
      <c r="I377">
        <v>416898</v>
      </c>
      <c r="J377">
        <v>755431</v>
      </c>
      <c r="K377">
        <v>1447</v>
      </c>
      <c r="L377">
        <v>52</v>
      </c>
      <c r="M377">
        <v>67</v>
      </c>
      <c r="N377">
        <v>7793</v>
      </c>
      <c r="O377">
        <v>4168107</v>
      </c>
      <c r="P377">
        <v>94</v>
      </c>
      <c r="Q377" t="s">
        <v>22</v>
      </c>
      <c r="R377">
        <v>58</v>
      </c>
      <c r="S377" t="s">
        <v>23</v>
      </c>
    </row>
    <row r="378" spans="1:19">
      <c r="A378" t="s">
        <v>782</v>
      </c>
      <c r="B378" t="s">
        <v>783</v>
      </c>
      <c r="C378" t="s">
        <v>38</v>
      </c>
      <c r="D378">
        <v>7</v>
      </c>
      <c r="E378">
        <v>197</v>
      </c>
      <c r="F378">
        <v>3501896</v>
      </c>
      <c r="G378">
        <v>2.33</v>
      </c>
      <c r="H378">
        <v>0.68</v>
      </c>
      <c r="I378">
        <v>343055</v>
      </c>
      <c r="J378">
        <v>710549</v>
      </c>
      <c r="K378">
        <v>429</v>
      </c>
      <c r="L378">
        <v>59</v>
      </c>
      <c r="M378">
        <v>67</v>
      </c>
      <c r="N378">
        <v>5133</v>
      </c>
      <c r="O378">
        <v>3288265</v>
      </c>
      <c r="P378">
        <v>80</v>
      </c>
      <c r="Q378" t="s">
        <v>22</v>
      </c>
      <c r="R378">
        <v>52</v>
      </c>
      <c r="S378" t="s">
        <v>23</v>
      </c>
    </row>
    <row r="379" spans="1:19">
      <c r="A379" t="s">
        <v>784</v>
      </c>
      <c r="B379" t="s">
        <v>671</v>
      </c>
      <c r="C379" t="s">
        <v>55</v>
      </c>
      <c r="D379">
        <v>11</v>
      </c>
      <c r="E379">
        <v>46</v>
      </c>
      <c r="F379">
        <v>3015072</v>
      </c>
      <c r="G379">
        <v>4.7</v>
      </c>
      <c r="H379">
        <v>1</v>
      </c>
      <c r="I379">
        <v>701995</v>
      </c>
      <c r="J379">
        <v>321725</v>
      </c>
      <c r="K379">
        <v>344</v>
      </c>
      <c r="L379">
        <v>81</v>
      </c>
      <c r="M379">
        <v>80</v>
      </c>
      <c r="N379">
        <v>6946</v>
      </c>
      <c r="O379">
        <v>2435800</v>
      </c>
      <c r="P379">
        <v>93</v>
      </c>
      <c r="Q379" t="s">
        <v>27</v>
      </c>
      <c r="R379">
        <v>52</v>
      </c>
      <c r="S379" t="s">
        <v>23</v>
      </c>
    </row>
    <row r="380" spans="1:19">
      <c r="A380" t="s">
        <v>785</v>
      </c>
      <c r="B380" t="s">
        <v>786</v>
      </c>
      <c r="C380" t="s">
        <v>44</v>
      </c>
      <c r="D380">
        <v>6</v>
      </c>
      <c r="E380">
        <v>30</v>
      </c>
      <c r="F380">
        <v>2779345</v>
      </c>
      <c r="G380">
        <v>3.71</v>
      </c>
      <c r="H380">
        <v>0.74</v>
      </c>
      <c r="I380">
        <v>813991</v>
      </c>
      <c r="J380">
        <v>311800</v>
      </c>
      <c r="K380">
        <v>1611</v>
      </c>
      <c r="L380">
        <v>93</v>
      </c>
      <c r="M380">
        <v>93</v>
      </c>
      <c r="N380">
        <v>5679</v>
      </c>
      <c r="O380">
        <v>2155329</v>
      </c>
      <c r="P380">
        <v>83</v>
      </c>
      <c r="Q380" t="s">
        <v>22</v>
      </c>
      <c r="R380">
        <v>53</v>
      </c>
      <c r="S380" t="s">
        <v>23</v>
      </c>
    </row>
    <row r="381" spans="1:19">
      <c r="A381" t="s">
        <v>787</v>
      </c>
      <c r="B381" t="s">
        <v>788</v>
      </c>
      <c r="C381" t="s">
        <v>26</v>
      </c>
      <c r="D381">
        <v>7</v>
      </c>
      <c r="E381">
        <v>69</v>
      </c>
      <c r="F381">
        <v>4688730</v>
      </c>
      <c r="G381">
        <v>18.649999999999999</v>
      </c>
      <c r="H381">
        <v>0.53</v>
      </c>
      <c r="I381">
        <v>40864</v>
      </c>
      <c r="J381">
        <v>915288</v>
      </c>
      <c r="K381">
        <v>417</v>
      </c>
      <c r="L381">
        <v>65</v>
      </c>
      <c r="M381">
        <v>76</v>
      </c>
      <c r="N381">
        <v>6668</v>
      </c>
      <c r="O381">
        <v>3508444</v>
      </c>
      <c r="P381">
        <v>79</v>
      </c>
      <c r="Q381" t="s">
        <v>27</v>
      </c>
      <c r="R381">
        <v>70</v>
      </c>
      <c r="S381" t="s">
        <v>28</v>
      </c>
    </row>
    <row r="382" spans="1:19">
      <c r="A382" t="s">
        <v>789</v>
      </c>
      <c r="B382" t="s">
        <v>790</v>
      </c>
      <c r="C382" t="s">
        <v>21</v>
      </c>
      <c r="D382">
        <v>8</v>
      </c>
      <c r="E382">
        <v>143</v>
      </c>
      <c r="F382">
        <v>1948470</v>
      </c>
      <c r="G382">
        <v>15.24</v>
      </c>
      <c r="H382">
        <v>0.25</v>
      </c>
      <c r="I382">
        <v>194622</v>
      </c>
      <c r="J382">
        <v>795150</v>
      </c>
      <c r="K382">
        <v>398</v>
      </c>
      <c r="L382">
        <v>45</v>
      </c>
      <c r="M382">
        <v>61</v>
      </c>
      <c r="N382">
        <v>3125</v>
      </c>
      <c r="O382">
        <v>998523</v>
      </c>
      <c r="P382">
        <v>60</v>
      </c>
      <c r="Q382" t="s">
        <v>27</v>
      </c>
      <c r="R382">
        <v>67</v>
      </c>
      <c r="S382" t="s">
        <v>28</v>
      </c>
    </row>
    <row r="383" spans="1:19">
      <c r="A383" t="s">
        <v>791</v>
      </c>
      <c r="B383" t="s">
        <v>792</v>
      </c>
      <c r="C383" t="s">
        <v>31</v>
      </c>
      <c r="D383">
        <v>4</v>
      </c>
      <c r="E383">
        <v>241</v>
      </c>
      <c r="F383">
        <v>3052219</v>
      </c>
      <c r="G383">
        <v>19.82</v>
      </c>
      <c r="H383">
        <v>0.18</v>
      </c>
      <c r="I383">
        <v>723901</v>
      </c>
      <c r="J383">
        <v>117548</v>
      </c>
      <c r="K383">
        <v>1295</v>
      </c>
      <c r="L383">
        <v>52</v>
      </c>
      <c r="M383">
        <v>96</v>
      </c>
      <c r="N383">
        <v>1555</v>
      </c>
      <c r="O383">
        <v>2831607</v>
      </c>
      <c r="P383">
        <v>81</v>
      </c>
      <c r="Q383" t="s">
        <v>27</v>
      </c>
      <c r="R383">
        <v>79</v>
      </c>
      <c r="S383" t="s">
        <v>28</v>
      </c>
    </row>
    <row r="384" spans="1:19">
      <c r="A384" t="s">
        <v>793</v>
      </c>
      <c r="B384" t="s">
        <v>794</v>
      </c>
      <c r="C384" t="s">
        <v>31</v>
      </c>
      <c r="D384">
        <v>13</v>
      </c>
      <c r="E384">
        <v>52</v>
      </c>
      <c r="F384">
        <v>2500549</v>
      </c>
      <c r="G384">
        <v>5.19</v>
      </c>
      <c r="H384">
        <v>0.67</v>
      </c>
      <c r="I384">
        <v>155300</v>
      </c>
      <c r="J384">
        <v>104959</v>
      </c>
      <c r="K384">
        <v>548</v>
      </c>
      <c r="L384">
        <v>71</v>
      </c>
      <c r="M384">
        <v>87</v>
      </c>
      <c r="N384">
        <v>4369</v>
      </c>
      <c r="O384">
        <v>2215643</v>
      </c>
      <c r="P384">
        <v>96</v>
      </c>
      <c r="Q384" t="s">
        <v>27</v>
      </c>
      <c r="R384">
        <v>60</v>
      </c>
      <c r="S384" t="s">
        <v>28</v>
      </c>
    </row>
    <row r="385" spans="1:19">
      <c r="A385" t="s">
        <v>795</v>
      </c>
      <c r="B385" t="s">
        <v>796</v>
      </c>
      <c r="C385" t="s">
        <v>110</v>
      </c>
      <c r="D385">
        <v>19</v>
      </c>
      <c r="E385">
        <v>97</v>
      </c>
      <c r="F385">
        <v>985001</v>
      </c>
      <c r="G385">
        <v>12.47</v>
      </c>
      <c r="H385">
        <v>0.3</v>
      </c>
      <c r="I385">
        <v>-7657</v>
      </c>
      <c r="J385">
        <v>926595</v>
      </c>
      <c r="K385">
        <v>1126</v>
      </c>
      <c r="L385">
        <v>56</v>
      </c>
      <c r="M385">
        <v>70</v>
      </c>
      <c r="N385">
        <v>3217</v>
      </c>
      <c r="O385">
        <v>745474</v>
      </c>
      <c r="P385">
        <v>75</v>
      </c>
      <c r="Q385" t="s">
        <v>22</v>
      </c>
      <c r="R385">
        <v>68</v>
      </c>
      <c r="S385" t="s">
        <v>28</v>
      </c>
    </row>
    <row r="386" spans="1:19">
      <c r="A386" t="s">
        <v>797</v>
      </c>
      <c r="B386" t="s">
        <v>798</v>
      </c>
      <c r="C386" t="s">
        <v>38</v>
      </c>
      <c r="D386">
        <v>8</v>
      </c>
      <c r="E386">
        <v>238</v>
      </c>
      <c r="F386">
        <v>3679927</v>
      </c>
      <c r="G386">
        <v>3.91</v>
      </c>
      <c r="H386">
        <v>0.22</v>
      </c>
      <c r="I386">
        <v>276823</v>
      </c>
      <c r="J386">
        <v>484992</v>
      </c>
      <c r="K386">
        <v>700</v>
      </c>
      <c r="L386">
        <v>71</v>
      </c>
      <c r="M386">
        <v>70</v>
      </c>
      <c r="N386">
        <v>5236</v>
      </c>
      <c r="O386">
        <v>2034872</v>
      </c>
      <c r="P386">
        <v>89</v>
      </c>
      <c r="Q386" t="s">
        <v>27</v>
      </c>
      <c r="R386">
        <v>66</v>
      </c>
      <c r="S386" t="s">
        <v>28</v>
      </c>
    </row>
    <row r="387" spans="1:19">
      <c r="A387" t="s">
        <v>799</v>
      </c>
      <c r="B387" t="s">
        <v>800</v>
      </c>
      <c r="C387" t="s">
        <v>38</v>
      </c>
      <c r="D387">
        <v>18</v>
      </c>
      <c r="E387">
        <v>181</v>
      </c>
      <c r="F387">
        <v>567883</v>
      </c>
      <c r="G387">
        <v>20.65</v>
      </c>
      <c r="H387">
        <v>1.1200000000000001</v>
      </c>
      <c r="I387">
        <v>776205</v>
      </c>
      <c r="J387">
        <v>847426</v>
      </c>
      <c r="K387">
        <v>626</v>
      </c>
      <c r="L387">
        <v>63</v>
      </c>
      <c r="M387">
        <v>90</v>
      </c>
      <c r="N387">
        <v>3899</v>
      </c>
      <c r="O387">
        <v>490160</v>
      </c>
      <c r="P387">
        <v>74</v>
      </c>
      <c r="Q387" t="s">
        <v>22</v>
      </c>
      <c r="R387">
        <v>58</v>
      </c>
      <c r="S387" t="s">
        <v>23</v>
      </c>
    </row>
    <row r="388" spans="1:19">
      <c r="A388" t="s">
        <v>801</v>
      </c>
      <c r="B388" t="s">
        <v>802</v>
      </c>
      <c r="C388" t="s">
        <v>64</v>
      </c>
      <c r="D388">
        <v>14</v>
      </c>
      <c r="E388">
        <v>188</v>
      </c>
      <c r="F388">
        <v>2153303</v>
      </c>
      <c r="G388">
        <v>15.07</v>
      </c>
      <c r="H388">
        <v>0.16</v>
      </c>
      <c r="I388">
        <v>-69921</v>
      </c>
      <c r="J388">
        <v>204955</v>
      </c>
      <c r="K388">
        <v>1337</v>
      </c>
      <c r="L388">
        <v>72</v>
      </c>
      <c r="M388">
        <v>91</v>
      </c>
      <c r="N388">
        <v>1058</v>
      </c>
      <c r="O388">
        <v>1394373</v>
      </c>
      <c r="P388">
        <v>60</v>
      </c>
      <c r="Q388" t="s">
        <v>27</v>
      </c>
      <c r="R388">
        <v>68</v>
      </c>
      <c r="S388" t="s">
        <v>28</v>
      </c>
    </row>
    <row r="389" spans="1:19">
      <c r="A389" t="s">
        <v>803</v>
      </c>
      <c r="B389" t="s">
        <v>804</v>
      </c>
      <c r="C389" t="s">
        <v>38</v>
      </c>
      <c r="D389">
        <v>8</v>
      </c>
      <c r="E389">
        <v>119</v>
      </c>
      <c r="F389">
        <v>3113563</v>
      </c>
      <c r="G389">
        <v>2.04</v>
      </c>
      <c r="H389">
        <v>0.83</v>
      </c>
      <c r="I389">
        <v>535069</v>
      </c>
      <c r="J389">
        <v>404991</v>
      </c>
      <c r="K389">
        <v>1810</v>
      </c>
      <c r="L389">
        <v>60</v>
      </c>
      <c r="M389">
        <v>63</v>
      </c>
      <c r="N389">
        <v>6839</v>
      </c>
      <c r="O389">
        <v>1576102</v>
      </c>
      <c r="P389">
        <v>72</v>
      </c>
      <c r="Q389" t="s">
        <v>27</v>
      </c>
      <c r="R389">
        <v>47</v>
      </c>
      <c r="S389" t="s">
        <v>23</v>
      </c>
    </row>
    <row r="390" spans="1:19">
      <c r="A390" t="s">
        <v>805</v>
      </c>
      <c r="B390" t="s">
        <v>806</v>
      </c>
      <c r="C390" t="s">
        <v>31</v>
      </c>
      <c r="D390">
        <v>3</v>
      </c>
      <c r="E390">
        <v>34</v>
      </c>
      <c r="F390">
        <v>1068198</v>
      </c>
      <c r="G390">
        <v>17.91</v>
      </c>
      <c r="H390">
        <v>0.66</v>
      </c>
      <c r="I390">
        <v>83491</v>
      </c>
      <c r="J390">
        <v>186030</v>
      </c>
      <c r="K390">
        <v>1137</v>
      </c>
      <c r="L390">
        <v>52</v>
      </c>
      <c r="M390">
        <v>68</v>
      </c>
      <c r="N390">
        <v>5987</v>
      </c>
      <c r="O390">
        <v>872080</v>
      </c>
      <c r="P390">
        <v>77</v>
      </c>
      <c r="Q390" t="s">
        <v>22</v>
      </c>
      <c r="R390">
        <v>66</v>
      </c>
      <c r="S390" t="s">
        <v>28</v>
      </c>
    </row>
    <row r="391" spans="1:19">
      <c r="A391" t="s">
        <v>807</v>
      </c>
      <c r="B391" t="s">
        <v>808</v>
      </c>
      <c r="C391" t="s">
        <v>75</v>
      </c>
      <c r="D391">
        <v>19</v>
      </c>
      <c r="E391">
        <v>76</v>
      </c>
      <c r="F391">
        <v>1216023</v>
      </c>
      <c r="G391">
        <v>16.72</v>
      </c>
      <c r="H391">
        <v>0.19</v>
      </c>
      <c r="I391">
        <v>-99688</v>
      </c>
      <c r="J391">
        <v>153791</v>
      </c>
      <c r="K391">
        <v>844</v>
      </c>
      <c r="L391">
        <v>91</v>
      </c>
      <c r="M391">
        <v>79</v>
      </c>
      <c r="N391">
        <v>7138</v>
      </c>
      <c r="O391">
        <v>852691</v>
      </c>
      <c r="P391">
        <v>60</v>
      </c>
      <c r="Q391" t="s">
        <v>22</v>
      </c>
      <c r="R391">
        <v>69</v>
      </c>
      <c r="S391" t="s">
        <v>28</v>
      </c>
    </row>
    <row r="392" spans="1:19">
      <c r="A392" t="s">
        <v>809</v>
      </c>
      <c r="B392" t="s">
        <v>810</v>
      </c>
      <c r="C392" t="s">
        <v>31</v>
      </c>
      <c r="D392">
        <v>16</v>
      </c>
      <c r="E392">
        <v>243</v>
      </c>
      <c r="F392">
        <v>4944765</v>
      </c>
      <c r="G392">
        <v>9.17</v>
      </c>
      <c r="H392">
        <v>1.18</v>
      </c>
      <c r="I392">
        <v>575535</v>
      </c>
      <c r="J392">
        <v>192144</v>
      </c>
      <c r="K392">
        <v>1831</v>
      </c>
      <c r="L392">
        <v>55</v>
      </c>
      <c r="M392">
        <v>65</v>
      </c>
      <c r="N392">
        <v>4152</v>
      </c>
      <c r="O392">
        <v>3618957</v>
      </c>
      <c r="P392">
        <v>74</v>
      </c>
      <c r="Q392" t="s">
        <v>27</v>
      </c>
      <c r="R392">
        <v>47</v>
      </c>
      <c r="S392" t="s">
        <v>23</v>
      </c>
    </row>
    <row r="393" spans="1:19">
      <c r="A393" t="s">
        <v>811</v>
      </c>
      <c r="B393" t="s">
        <v>414</v>
      </c>
      <c r="C393" t="s">
        <v>21</v>
      </c>
      <c r="D393">
        <v>9</v>
      </c>
      <c r="E393">
        <v>244</v>
      </c>
      <c r="F393">
        <v>2388138</v>
      </c>
      <c r="G393">
        <v>12.79</v>
      </c>
      <c r="H393">
        <v>0.66</v>
      </c>
      <c r="I393">
        <v>875652</v>
      </c>
      <c r="J393">
        <v>302574</v>
      </c>
      <c r="K393">
        <v>1918</v>
      </c>
      <c r="L393">
        <v>87</v>
      </c>
      <c r="M393">
        <v>98</v>
      </c>
      <c r="N393">
        <v>5664</v>
      </c>
      <c r="O393">
        <v>1751734</v>
      </c>
      <c r="P393">
        <v>64</v>
      </c>
      <c r="Q393" t="s">
        <v>27</v>
      </c>
      <c r="R393">
        <v>58</v>
      </c>
      <c r="S393" t="s">
        <v>23</v>
      </c>
    </row>
    <row r="394" spans="1:19">
      <c r="A394" t="s">
        <v>812</v>
      </c>
      <c r="B394" t="s">
        <v>813</v>
      </c>
      <c r="C394" t="s">
        <v>26</v>
      </c>
      <c r="D394">
        <v>17</v>
      </c>
      <c r="E394">
        <v>106</v>
      </c>
      <c r="F394">
        <v>3061208</v>
      </c>
      <c r="G394">
        <v>6.92</v>
      </c>
      <c r="H394">
        <v>0.11</v>
      </c>
      <c r="I394">
        <v>931033</v>
      </c>
      <c r="J394">
        <v>214820</v>
      </c>
      <c r="K394">
        <v>1737</v>
      </c>
      <c r="L394">
        <v>58</v>
      </c>
      <c r="M394">
        <v>72</v>
      </c>
      <c r="N394">
        <v>3433</v>
      </c>
      <c r="O394">
        <v>2310425</v>
      </c>
      <c r="P394">
        <v>65</v>
      </c>
      <c r="Q394" t="s">
        <v>22</v>
      </c>
      <c r="R394">
        <v>64</v>
      </c>
      <c r="S394" t="s">
        <v>28</v>
      </c>
    </row>
    <row r="395" spans="1:19">
      <c r="A395" t="s">
        <v>814</v>
      </c>
      <c r="B395" t="s">
        <v>815</v>
      </c>
      <c r="C395" t="s">
        <v>44</v>
      </c>
      <c r="D395">
        <v>17</v>
      </c>
      <c r="E395">
        <v>232</v>
      </c>
      <c r="F395">
        <v>2864041</v>
      </c>
      <c r="G395">
        <v>14.29</v>
      </c>
      <c r="H395">
        <v>0.99</v>
      </c>
      <c r="I395">
        <v>93604</v>
      </c>
      <c r="J395">
        <v>432521</v>
      </c>
      <c r="K395">
        <v>1085</v>
      </c>
      <c r="L395">
        <v>61</v>
      </c>
      <c r="M395">
        <v>79</v>
      </c>
      <c r="N395">
        <v>2490</v>
      </c>
      <c r="O395">
        <v>2258516</v>
      </c>
      <c r="P395">
        <v>68</v>
      </c>
      <c r="Q395" t="s">
        <v>22</v>
      </c>
      <c r="R395">
        <v>53</v>
      </c>
      <c r="S395" t="s">
        <v>23</v>
      </c>
    </row>
    <row r="396" spans="1:19">
      <c r="A396" t="s">
        <v>816</v>
      </c>
      <c r="B396" t="s">
        <v>817</v>
      </c>
      <c r="C396" t="s">
        <v>38</v>
      </c>
      <c r="D396">
        <v>13</v>
      </c>
      <c r="E396">
        <v>50</v>
      </c>
      <c r="F396">
        <v>2721345</v>
      </c>
      <c r="G396">
        <v>11.79</v>
      </c>
      <c r="H396">
        <v>0.19</v>
      </c>
      <c r="I396">
        <v>-76025</v>
      </c>
      <c r="J396">
        <v>297902</v>
      </c>
      <c r="K396">
        <v>526</v>
      </c>
      <c r="L396">
        <v>76</v>
      </c>
      <c r="M396">
        <v>78</v>
      </c>
      <c r="N396">
        <v>3986</v>
      </c>
      <c r="O396">
        <v>1419655</v>
      </c>
      <c r="P396">
        <v>71</v>
      </c>
      <c r="Q396" t="s">
        <v>27</v>
      </c>
      <c r="R396">
        <v>68</v>
      </c>
      <c r="S396" t="s">
        <v>28</v>
      </c>
    </row>
    <row r="397" spans="1:19">
      <c r="A397" t="s">
        <v>818</v>
      </c>
      <c r="B397" t="s">
        <v>819</v>
      </c>
      <c r="C397" t="s">
        <v>38</v>
      </c>
      <c r="D397">
        <v>16</v>
      </c>
      <c r="E397">
        <v>210</v>
      </c>
      <c r="F397">
        <v>4847333</v>
      </c>
      <c r="G397">
        <v>20.309999999999999</v>
      </c>
      <c r="H397">
        <v>0.8</v>
      </c>
      <c r="I397">
        <v>131597</v>
      </c>
      <c r="J397">
        <v>584897</v>
      </c>
      <c r="K397">
        <v>1880</v>
      </c>
      <c r="L397">
        <v>58</v>
      </c>
      <c r="M397">
        <v>85</v>
      </c>
      <c r="N397">
        <v>2971</v>
      </c>
      <c r="O397">
        <v>2851203</v>
      </c>
      <c r="P397">
        <v>97</v>
      </c>
      <c r="Q397" t="s">
        <v>27</v>
      </c>
      <c r="R397">
        <v>71</v>
      </c>
      <c r="S397" t="s">
        <v>28</v>
      </c>
    </row>
    <row r="398" spans="1:19">
      <c r="A398" t="s">
        <v>820</v>
      </c>
      <c r="B398" t="s">
        <v>821</v>
      </c>
      <c r="C398" t="s">
        <v>64</v>
      </c>
      <c r="D398">
        <v>8</v>
      </c>
      <c r="E398">
        <v>160</v>
      </c>
      <c r="F398">
        <v>500618</v>
      </c>
      <c r="G398">
        <v>2.79</v>
      </c>
      <c r="H398">
        <v>0.16</v>
      </c>
      <c r="I398">
        <v>942493</v>
      </c>
      <c r="J398">
        <v>792621</v>
      </c>
      <c r="K398">
        <v>1517</v>
      </c>
      <c r="L398">
        <v>73</v>
      </c>
      <c r="M398">
        <v>61</v>
      </c>
      <c r="N398">
        <v>5478</v>
      </c>
      <c r="O398">
        <v>258658</v>
      </c>
      <c r="P398">
        <v>74</v>
      </c>
      <c r="Q398" t="s">
        <v>22</v>
      </c>
      <c r="R398">
        <v>62</v>
      </c>
      <c r="S398" t="s">
        <v>28</v>
      </c>
    </row>
    <row r="399" spans="1:19">
      <c r="A399" t="s">
        <v>822</v>
      </c>
      <c r="B399" t="s">
        <v>823</v>
      </c>
      <c r="C399" t="s">
        <v>21</v>
      </c>
      <c r="D399">
        <v>6</v>
      </c>
      <c r="E399">
        <v>158</v>
      </c>
      <c r="F399">
        <v>2132636</v>
      </c>
      <c r="G399">
        <v>21.56</v>
      </c>
      <c r="H399">
        <v>1.17</v>
      </c>
      <c r="I399">
        <v>884576</v>
      </c>
      <c r="J399">
        <v>861429</v>
      </c>
      <c r="K399">
        <v>1435</v>
      </c>
      <c r="L399">
        <v>58</v>
      </c>
      <c r="M399">
        <v>67</v>
      </c>
      <c r="N399">
        <v>1116</v>
      </c>
      <c r="O399">
        <v>1952231</v>
      </c>
      <c r="P399">
        <v>73</v>
      </c>
      <c r="Q399" t="s">
        <v>27</v>
      </c>
      <c r="R399">
        <v>58</v>
      </c>
      <c r="S399" t="s">
        <v>23</v>
      </c>
    </row>
    <row r="400" spans="1:19">
      <c r="A400" t="s">
        <v>824</v>
      </c>
      <c r="B400" t="s">
        <v>825</v>
      </c>
      <c r="C400" t="s">
        <v>55</v>
      </c>
      <c r="D400">
        <v>17</v>
      </c>
      <c r="E400">
        <v>104</v>
      </c>
      <c r="F400">
        <v>3886059</v>
      </c>
      <c r="G400">
        <v>3.83</v>
      </c>
      <c r="H400">
        <v>0.51</v>
      </c>
      <c r="I400">
        <v>272773</v>
      </c>
      <c r="J400">
        <v>981034</v>
      </c>
      <c r="K400">
        <v>180</v>
      </c>
      <c r="L400">
        <v>63</v>
      </c>
      <c r="M400">
        <v>60</v>
      </c>
      <c r="N400">
        <v>3423</v>
      </c>
      <c r="O400">
        <v>2759636</v>
      </c>
      <c r="P400">
        <v>85</v>
      </c>
      <c r="Q400" t="s">
        <v>22</v>
      </c>
      <c r="R400">
        <v>59</v>
      </c>
      <c r="S400" t="s">
        <v>23</v>
      </c>
    </row>
    <row r="401" spans="1:19">
      <c r="A401" t="s">
        <v>826</v>
      </c>
      <c r="B401" t="s">
        <v>827</v>
      </c>
      <c r="C401" t="s">
        <v>64</v>
      </c>
      <c r="D401">
        <v>4</v>
      </c>
      <c r="E401">
        <v>38</v>
      </c>
      <c r="F401">
        <v>3436221</v>
      </c>
      <c r="G401">
        <v>20.46</v>
      </c>
      <c r="H401">
        <v>0.98</v>
      </c>
      <c r="I401">
        <v>219032</v>
      </c>
      <c r="J401">
        <v>871386</v>
      </c>
      <c r="K401">
        <v>1343</v>
      </c>
      <c r="L401">
        <v>84</v>
      </c>
      <c r="M401">
        <v>85</v>
      </c>
      <c r="N401">
        <v>3415</v>
      </c>
      <c r="O401">
        <v>2371733</v>
      </c>
      <c r="P401">
        <v>94</v>
      </c>
      <c r="Q401" t="s">
        <v>27</v>
      </c>
      <c r="R401">
        <v>67</v>
      </c>
      <c r="S401" t="s">
        <v>28</v>
      </c>
    </row>
    <row r="402" spans="1:19">
      <c r="A402" t="s">
        <v>828</v>
      </c>
      <c r="B402" t="s">
        <v>829</v>
      </c>
      <c r="C402" t="s">
        <v>31</v>
      </c>
      <c r="D402">
        <v>3</v>
      </c>
      <c r="E402">
        <v>88</v>
      </c>
      <c r="F402">
        <v>941100</v>
      </c>
      <c r="G402">
        <v>24.31</v>
      </c>
      <c r="H402">
        <v>0.48</v>
      </c>
      <c r="I402">
        <v>703001</v>
      </c>
      <c r="J402">
        <v>437708</v>
      </c>
      <c r="K402">
        <v>929</v>
      </c>
      <c r="L402">
        <v>51</v>
      </c>
      <c r="M402">
        <v>86</v>
      </c>
      <c r="N402">
        <v>3085</v>
      </c>
      <c r="O402">
        <v>645814</v>
      </c>
      <c r="P402">
        <v>77</v>
      </c>
      <c r="Q402" t="s">
        <v>22</v>
      </c>
      <c r="R402">
        <v>75</v>
      </c>
      <c r="S402" t="s">
        <v>28</v>
      </c>
    </row>
    <row r="403" spans="1:19">
      <c r="A403" t="s">
        <v>830</v>
      </c>
      <c r="B403" t="s">
        <v>831</v>
      </c>
      <c r="C403" t="s">
        <v>31</v>
      </c>
      <c r="D403">
        <v>4</v>
      </c>
      <c r="E403">
        <v>54</v>
      </c>
      <c r="F403">
        <v>3032335</v>
      </c>
      <c r="G403">
        <v>22.9</v>
      </c>
      <c r="H403">
        <v>1.02</v>
      </c>
      <c r="I403">
        <v>-73049</v>
      </c>
      <c r="J403">
        <v>692781</v>
      </c>
      <c r="K403">
        <v>334</v>
      </c>
      <c r="L403">
        <v>69</v>
      </c>
      <c r="M403">
        <v>91</v>
      </c>
      <c r="N403">
        <v>3893</v>
      </c>
      <c r="O403">
        <v>1888431</v>
      </c>
      <c r="P403">
        <v>93</v>
      </c>
      <c r="Q403" t="s">
        <v>22</v>
      </c>
      <c r="R403">
        <v>68</v>
      </c>
      <c r="S403" t="s">
        <v>28</v>
      </c>
    </row>
    <row r="404" spans="1:19">
      <c r="A404" t="s">
        <v>832</v>
      </c>
      <c r="B404" t="s">
        <v>833</v>
      </c>
      <c r="C404" t="s">
        <v>31</v>
      </c>
      <c r="D404">
        <v>12</v>
      </c>
      <c r="E404">
        <v>23</v>
      </c>
      <c r="F404">
        <v>2080362</v>
      </c>
      <c r="G404">
        <v>2.59</v>
      </c>
      <c r="H404">
        <v>0.84</v>
      </c>
      <c r="I404">
        <v>482991</v>
      </c>
      <c r="J404">
        <v>762127</v>
      </c>
      <c r="K404">
        <v>490</v>
      </c>
      <c r="L404">
        <v>56</v>
      </c>
      <c r="M404">
        <v>71</v>
      </c>
      <c r="N404">
        <v>2638</v>
      </c>
      <c r="O404">
        <v>1071214</v>
      </c>
      <c r="P404">
        <v>65</v>
      </c>
      <c r="Q404" t="s">
        <v>22</v>
      </c>
      <c r="R404">
        <v>45</v>
      </c>
      <c r="S404" t="s">
        <v>23</v>
      </c>
    </row>
    <row r="405" spans="1:19">
      <c r="A405" t="s">
        <v>834</v>
      </c>
      <c r="B405" t="s">
        <v>835</v>
      </c>
      <c r="C405" t="s">
        <v>41</v>
      </c>
      <c r="D405">
        <v>4</v>
      </c>
      <c r="E405">
        <v>156</v>
      </c>
      <c r="F405">
        <v>4305191</v>
      </c>
      <c r="G405">
        <v>5.78</v>
      </c>
      <c r="H405">
        <v>1.07</v>
      </c>
      <c r="I405">
        <v>151535</v>
      </c>
      <c r="J405">
        <v>496794</v>
      </c>
      <c r="K405">
        <v>249</v>
      </c>
      <c r="L405">
        <v>56</v>
      </c>
      <c r="M405">
        <v>72</v>
      </c>
      <c r="N405">
        <v>2602</v>
      </c>
      <c r="O405">
        <v>3803928</v>
      </c>
      <c r="P405">
        <v>97</v>
      </c>
      <c r="Q405" t="s">
        <v>27</v>
      </c>
      <c r="R405">
        <v>53</v>
      </c>
      <c r="S405" t="s">
        <v>23</v>
      </c>
    </row>
    <row r="406" spans="1:19">
      <c r="A406" t="s">
        <v>836</v>
      </c>
      <c r="B406" t="s">
        <v>837</v>
      </c>
      <c r="C406" t="s">
        <v>41</v>
      </c>
      <c r="D406">
        <v>6</v>
      </c>
      <c r="E406">
        <v>207</v>
      </c>
      <c r="F406">
        <v>3087769</v>
      </c>
      <c r="G406">
        <v>8.1999999999999993</v>
      </c>
      <c r="H406">
        <v>0.43</v>
      </c>
      <c r="I406">
        <v>650702</v>
      </c>
      <c r="J406">
        <v>164593</v>
      </c>
      <c r="K406">
        <v>1911</v>
      </c>
      <c r="L406">
        <v>69</v>
      </c>
      <c r="M406">
        <v>93</v>
      </c>
      <c r="N406">
        <v>7932</v>
      </c>
      <c r="O406">
        <v>2915114</v>
      </c>
      <c r="P406">
        <v>92</v>
      </c>
      <c r="Q406" t="s">
        <v>22</v>
      </c>
      <c r="R406">
        <v>66</v>
      </c>
      <c r="S406" t="s">
        <v>28</v>
      </c>
    </row>
    <row r="407" spans="1:19">
      <c r="A407" t="s">
        <v>838</v>
      </c>
      <c r="B407" t="s">
        <v>839</v>
      </c>
      <c r="C407" t="s">
        <v>31</v>
      </c>
      <c r="D407">
        <v>17</v>
      </c>
      <c r="E407">
        <v>244</v>
      </c>
      <c r="F407">
        <v>725310</v>
      </c>
      <c r="G407">
        <v>21.02</v>
      </c>
      <c r="H407">
        <v>1.1100000000000001</v>
      </c>
      <c r="I407">
        <v>873982</v>
      </c>
      <c r="J407">
        <v>555054</v>
      </c>
      <c r="K407">
        <v>1553</v>
      </c>
      <c r="L407">
        <v>74</v>
      </c>
      <c r="M407">
        <v>65</v>
      </c>
      <c r="N407">
        <v>5908</v>
      </c>
      <c r="O407">
        <v>409979</v>
      </c>
      <c r="P407">
        <v>83</v>
      </c>
      <c r="Q407" t="s">
        <v>27</v>
      </c>
      <c r="R407">
        <v>62</v>
      </c>
      <c r="S407" t="s">
        <v>28</v>
      </c>
    </row>
    <row r="408" spans="1:19">
      <c r="A408" t="s">
        <v>840</v>
      </c>
      <c r="B408" t="s">
        <v>841</v>
      </c>
      <c r="C408" t="s">
        <v>64</v>
      </c>
      <c r="D408">
        <v>16</v>
      </c>
      <c r="E408">
        <v>237</v>
      </c>
      <c r="F408">
        <v>3230332</v>
      </c>
      <c r="G408">
        <v>13.42</v>
      </c>
      <c r="H408">
        <v>0.95</v>
      </c>
      <c r="I408">
        <v>572006</v>
      </c>
      <c r="J408">
        <v>474813</v>
      </c>
      <c r="K408">
        <v>1783</v>
      </c>
      <c r="L408">
        <v>79</v>
      </c>
      <c r="M408">
        <v>95</v>
      </c>
      <c r="N408">
        <v>1052</v>
      </c>
      <c r="O408">
        <v>2852838</v>
      </c>
      <c r="P408">
        <v>80</v>
      </c>
      <c r="Q408" t="s">
        <v>27</v>
      </c>
      <c r="R408">
        <v>57</v>
      </c>
      <c r="S408" t="s">
        <v>23</v>
      </c>
    </row>
    <row r="409" spans="1:19">
      <c r="A409" t="s">
        <v>842</v>
      </c>
      <c r="B409" t="s">
        <v>843</v>
      </c>
      <c r="C409" t="s">
        <v>55</v>
      </c>
      <c r="D409">
        <v>16</v>
      </c>
      <c r="E409">
        <v>211</v>
      </c>
      <c r="F409">
        <v>4519810</v>
      </c>
      <c r="G409">
        <v>19.75</v>
      </c>
      <c r="H409">
        <v>1.1399999999999999</v>
      </c>
      <c r="I409">
        <v>940322</v>
      </c>
      <c r="J409">
        <v>163492</v>
      </c>
      <c r="K409">
        <v>1452</v>
      </c>
      <c r="L409">
        <v>57</v>
      </c>
      <c r="M409">
        <v>69</v>
      </c>
      <c r="N409">
        <v>4523</v>
      </c>
      <c r="O409">
        <v>2699023</v>
      </c>
      <c r="P409">
        <v>78</v>
      </c>
      <c r="Q409" t="s">
        <v>22</v>
      </c>
      <c r="R409">
        <v>58</v>
      </c>
      <c r="S409" t="s">
        <v>23</v>
      </c>
    </row>
    <row r="410" spans="1:19">
      <c r="A410" t="s">
        <v>844</v>
      </c>
      <c r="B410" t="s">
        <v>845</v>
      </c>
      <c r="C410" t="s">
        <v>26</v>
      </c>
      <c r="D410">
        <v>18</v>
      </c>
      <c r="E410">
        <v>43</v>
      </c>
      <c r="F410">
        <v>2878259</v>
      </c>
      <c r="G410">
        <v>24.04</v>
      </c>
      <c r="H410">
        <v>0.85</v>
      </c>
      <c r="I410">
        <v>824492</v>
      </c>
      <c r="J410">
        <v>987710</v>
      </c>
      <c r="K410">
        <v>1753</v>
      </c>
      <c r="L410">
        <v>64</v>
      </c>
      <c r="M410">
        <v>67</v>
      </c>
      <c r="N410">
        <v>762</v>
      </c>
      <c r="O410">
        <v>1629085</v>
      </c>
      <c r="P410">
        <v>83</v>
      </c>
      <c r="Q410" t="s">
        <v>22</v>
      </c>
      <c r="R410">
        <v>70</v>
      </c>
      <c r="S410" t="s">
        <v>28</v>
      </c>
    </row>
    <row r="411" spans="1:19">
      <c r="A411" t="s">
        <v>846</v>
      </c>
      <c r="B411" t="s">
        <v>847</v>
      </c>
      <c r="C411" t="s">
        <v>64</v>
      </c>
      <c r="D411">
        <v>5</v>
      </c>
      <c r="E411">
        <v>19</v>
      </c>
      <c r="F411">
        <v>2824213</v>
      </c>
      <c r="G411">
        <v>11.18</v>
      </c>
      <c r="H411">
        <v>0.45</v>
      </c>
      <c r="I411">
        <v>840500</v>
      </c>
      <c r="J411">
        <v>190616</v>
      </c>
      <c r="K411">
        <v>1346</v>
      </c>
      <c r="L411">
        <v>69</v>
      </c>
      <c r="M411">
        <v>71</v>
      </c>
      <c r="N411">
        <v>680</v>
      </c>
      <c r="O411">
        <v>2507956</v>
      </c>
      <c r="P411">
        <v>74</v>
      </c>
      <c r="Q411" t="s">
        <v>22</v>
      </c>
      <c r="R411">
        <v>63</v>
      </c>
      <c r="S411" t="s">
        <v>28</v>
      </c>
    </row>
    <row r="412" spans="1:19">
      <c r="A412" t="s">
        <v>848</v>
      </c>
      <c r="B412" t="s">
        <v>849</v>
      </c>
      <c r="C412" t="s">
        <v>110</v>
      </c>
      <c r="D412">
        <v>11</v>
      </c>
      <c r="E412">
        <v>90</v>
      </c>
      <c r="F412">
        <v>3855735</v>
      </c>
      <c r="G412">
        <v>2.8</v>
      </c>
      <c r="H412">
        <v>0.43</v>
      </c>
      <c r="I412">
        <v>713075</v>
      </c>
      <c r="J412">
        <v>957482</v>
      </c>
      <c r="K412">
        <v>1928</v>
      </c>
      <c r="L412">
        <v>51</v>
      </c>
      <c r="M412">
        <v>81</v>
      </c>
      <c r="N412">
        <v>1767</v>
      </c>
      <c r="O412">
        <v>2200301</v>
      </c>
      <c r="P412">
        <v>87</v>
      </c>
      <c r="Q412" t="s">
        <v>22</v>
      </c>
      <c r="R412">
        <v>60</v>
      </c>
      <c r="S412" t="s">
        <v>28</v>
      </c>
    </row>
    <row r="413" spans="1:19">
      <c r="A413" t="s">
        <v>850</v>
      </c>
      <c r="B413" t="s">
        <v>851</v>
      </c>
      <c r="C413" t="s">
        <v>75</v>
      </c>
      <c r="D413">
        <v>14</v>
      </c>
      <c r="E413">
        <v>225</v>
      </c>
      <c r="F413">
        <v>3727987</v>
      </c>
      <c r="G413">
        <v>7.08</v>
      </c>
      <c r="H413">
        <v>0.2</v>
      </c>
      <c r="I413">
        <v>693544</v>
      </c>
      <c r="J413">
        <v>691549</v>
      </c>
      <c r="K413">
        <v>188</v>
      </c>
      <c r="L413">
        <v>93</v>
      </c>
      <c r="M413">
        <v>81</v>
      </c>
      <c r="N413">
        <v>3368</v>
      </c>
      <c r="O413">
        <v>1918678</v>
      </c>
      <c r="P413">
        <v>88</v>
      </c>
      <c r="Q413" t="s">
        <v>27</v>
      </c>
      <c r="R413">
        <v>69</v>
      </c>
      <c r="S413" t="s">
        <v>28</v>
      </c>
    </row>
    <row r="414" spans="1:19">
      <c r="A414" t="s">
        <v>852</v>
      </c>
      <c r="B414" t="s">
        <v>853</v>
      </c>
      <c r="C414" t="s">
        <v>38</v>
      </c>
      <c r="D414">
        <v>5</v>
      </c>
      <c r="E414">
        <v>170</v>
      </c>
      <c r="F414">
        <v>2125934</v>
      </c>
      <c r="G414">
        <v>6.84</v>
      </c>
      <c r="H414">
        <v>0.45</v>
      </c>
      <c r="I414">
        <v>16828</v>
      </c>
      <c r="J414">
        <v>456918</v>
      </c>
      <c r="K414">
        <v>594</v>
      </c>
      <c r="L414">
        <v>91</v>
      </c>
      <c r="M414">
        <v>61</v>
      </c>
      <c r="N414">
        <v>5987</v>
      </c>
      <c r="O414">
        <v>1141601</v>
      </c>
      <c r="P414">
        <v>96</v>
      </c>
      <c r="Q414" t="s">
        <v>27</v>
      </c>
      <c r="R414">
        <v>66</v>
      </c>
      <c r="S414" t="s">
        <v>28</v>
      </c>
    </row>
    <row r="415" spans="1:19">
      <c r="A415" t="s">
        <v>854</v>
      </c>
      <c r="B415" t="s">
        <v>855</v>
      </c>
      <c r="C415" t="s">
        <v>110</v>
      </c>
      <c r="D415">
        <v>19</v>
      </c>
      <c r="E415">
        <v>26</v>
      </c>
      <c r="F415">
        <v>2225530</v>
      </c>
      <c r="G415">
        <v>17.66</v>
      </c>
      <c r="H415">
        <v>0.47</v>
      </c>
      <c r="I415">
        <v>562980</v>
      </c>
      <c r="J415">
        <v>272194</v>
      </c>
      <c r="K415">
        <v>1515</v>
      </c>
      <c r="L415">
        <v>91</v>
      </c>
      <c r="M415">
        <v>85</v>
      </c>
      <c r="N415">
        <v>6708</v>
      </c>
      <c r="O415">
        <v>1605824</v>
      </c>
      <c r="P415">
        <v>70</v>
      </c>
      <c r="Q415" t="s">
        <v>27</v>
      </c>
      <c r="R415">
        <v>67</v>
      </c>
      <c r="S415" t="s">
        <v>28</v>
      </c>
    </row>
    <row r="416" spans="1:19">
      <c r="A416" t="s">
        <v>856</v>
      </c>
      <c r="B416" t="s">
        <v>857</v>
      </c>
      <c r="C416" t="s">
        <v>110</v>
      </c>
      <c r="D416">
        <v>20</v>
      </c>
      <c r="E416">
        <v>45</v>
      </c>
      <c r="F416">
        <v>2297148</v>
      </c>
      <c r="G416">
        <v>22.41</v>
      </c>
      <c r="H416">
        <v>0.64</v>
      </c>
      <c r="I416">
        <v>286324</v>
      </c>
      <c r="J416">
        <v>857862</v>
      </c>
      <c r="K416">
        <v>906</v>
      </c>
      <c r="L416">
        <v>67</v>
      </c>
      <c r="M416">
        <v>77</v>
      </c>
      <c r="N416">
        <v>3333</v>
      </c>
      <c r="O416">
        <v>2120275</v>
      </c>
      <c r="P416">
        <v>75</v>
      </c>
      <c r="Q416" t="s">
        <v>27</v>
      </c>
      <c r="R416">
        <v>70</v>
      </c>
      <c r="S416" t="s">
        <v>28</v>
      </c>
    </row>
    <row r="417" spans="1:19">
      <c r="A417" t="s">
        <v>858</v>
      </c>
      <c r="B417" t="s">
        <v>859</v>
      </c>
      <c r="C417" t="s">
        <v>31</v>
      </c>
      <c r="D417">
        <v>5</v>
      </c>
      <c r="E417">
        <v>28</v>
      </c>
      <c r="F417">
        <v>882006</v>
      </c>
      <c r="G417">
        <v>21.51</v>
      </c>
      <c r="H417">
        <v>1.1399999999999999</v>
      </c>
      <c r="I417">
        <v>468069</v>
      </c>
      <c r="J417">
        <v>587665</v>
      </c>
      <c r="K417">
        <v>1062</v>
      </c>
      <c r="L417">
        <v>57</v>
      </c>
      <c r="M417">
        <v>69</v>
      </c>
      <c r="N417">
        <v>900</v>
      </c>
      <c r="O417">
        <v>553936</v>
      </c>
      <c r="P417">
        <v>61</v>
      </c>
      <c r="Q417" t="s">
        <v>27</v>
      </c>
      <c r="R417">
        <v>55</v>
      </c>
      <c r="S417" t="s">
        <v>23</v>
      </c>
    </row>
    <row r="418" spans="1:19">
      <c r="A418" t="s">
        <v>860</v>
      </c>
      <c r="B418" t="s">
        <v>861</v>
      </c>
      <c r="C418" t="s">
        <v>38</v>
      </c>
      <c r="D418">
        <v>7</v>
      </c>
      <c r="E418">
        <v>108</v>
      </c>
      <c r="F418">
        <v>4130922</v>
      </c>
      <c r="G418">
        <v>22.18</v>
      </c>
      <c r="H418">
        <v>0.74</v>
      </c>
      <c r="I418">
        <v>610913</v>
      </c>
      <c r="J418">
        <v>433184</v>
      </c>
      <c r="K418">
        <v>1952</v>
      </c>
      <c r="L418">
        <v>62</v>
      </c>
      <c r="M418">
        <v>96</v>
      </c>
      <c r="N418">
        <v>6005</v>
      </c>
      <c r="O418">
        <v>3737671</v>
      </c>
      <c r="P418">
        <v>61</v>
      </c>
      <c r="Q418" t="s">
        <v>27</v>
      </c>
      <c r="R418">
        <v>63</v>
      </c>
      <c r="S418" t="s">
        <v>28</v>
      </c>
    </row>
    <row r="419" spans="1:19">
      <c r="A419" t="s">
        <v>862</v>
      </c>
      <c r="B419" t="s">
        <v>863</v>
      </c>
      <c r="C419" t="s">
        <v>75</v>
      </c>
      <c r="D419">
        <v>9</v>
      </c>
      <c r="E419">
        <v>152</v>
      </c>
      <c r="F419">
        <v>3873212</v>
      </c>
      <c r="G419">
        <v>24.61</v>
      </c>
      <c r="H419">
        <v>0.1</v>
      </c>
      <c r="I419">
        <v>-23493</v>
      </c>
      <c r="J419">
        <v>404532</v>
      </c>
      <c r="K419">
        <v>1146</v>
      </c>
      <c r="L419">
        <v>51</v>
      </c>
      <c r="M419">
        <v>87</v>
      </c>
      <c r="N419">
        <v>7212</v>
      </c>
      <c r="O419">
        <v>2479697</v>
      </c>
      <c r="P419">
        <v>66</v>
      </c>
      <c r="Q419" t="s">
        <v>22</v>
      </c>
      <c r="R419">
        <v>80</v>
      </c>
      <c r="S419" t="s">
        <v>137</v>
      </c>
    </row>
    <row r="420" spans="1:19">
      <c r="A420" t="s">
        <v>864</v>
      </c>
      <c r="B420" t="s">
        <v>865</v>
      </c>
      <c r="C420" t="s">
        <v>38</v>
      </c>
      <c r="D420">
        <v>11</v>
      </c>
      <c r="E420">
        <v>106</v>
      </c>
      <c r="F420">
        <v>605809</v>
      </c>
      <c r="G420">
        <v>8.9600000000000009</v>
      </c>
      <c r="H420">
        <v>0.71</v>
      </c>
      <c r="I420">
        <v>397301</v>
      </c>
      <c r="J420">
        <v>447948</v>
      </c>
      <c r="K420">
        <v>1946</v>
      </c>
      <c r="L420">
        <v>57</v>
      </c>
      <c r="M420">
        <v>60</v>
      </c>
      <c r="N420">
        <v>3382</v>
      </c>
      <c r="O420">
        <v>342323</v>
      </c>
      <c r="P420">
        <v>82</v>
      </c>
      <c r="Q420" t="s">
        <v>27</v>
      </c>
      <c r="R420">
        <v>58</v>
      </c>
      <c r="S420" t="s">
        <v>23</v>
      </c>
    </row>
    <row r="421" spans="1:19">
      <c r="A421" t="s">
        <v>866</v>
      </c>
      <c r="B421" t="s">
        <v>271</v>
      </c>
      <c r="C421" t="s">
        <v>41</v>
      </c>
      <c r="D421">
        <v>2</v>
      </c>
      <c r="E421">
        <v>32</v>
      </c>
      <c r="F421">
        <v>713777</v>
      </c>
      <c r="G421">
        <v>4.57</v>
      </c>
      <c r="H421">
        <v>0.45</v>
      </c>
      <c r="I421">
        <v>-76493</v>
      </c>
      <c r="J421">
        <v>767525</v>
      </c>
      <c r="K421">
        <v>1814</v>
      </c>
      <c r="L421">
        <v>61</v>
      </c>
      <c r="M421">
        <v>95</v>
      </c>
      <c r="N421">
        <v>3771</v>
      </c>
      <c r="O421">
        <v>461307</v>
      </c>
      <c r="P421">
        <v>93</v>
      </c>
      <c r="Q421" t="s">
        <v>22</v>
      </c>
      <c r="R421">
        <v>63</v>
      </c>
      <c r="S421" t="s">
        <v>28</v>
      </c>
    </row>
    <row r="422" spans="1:19">
      <c r="A422" t="s">
        <v>867</v>
      </c>
      <c r="B422" t="s">
        <v>868</v>
      </c>
      <c r="C422" t="s">
        <v>64</v>
      </c>
      <c r="D422">
        <v>18</v>
      </c>
      <c r="E422">
        <v>149</v>
      </c>
      <c r="F422">
        <v>3994101</v>
      </c>
      <c r="G422">
        <v>16.25</v>
      </c>
      <c r="H422">
        <v>0.86</v>
      </c>
      <c r="I422">
        <v>401787</v>
      </c>
      <c r="J422">
        <v>613091</v>
      </c>
      <c r="K422">
        <v>999</v>
      </c>
      <c r="L422">
        <v>88</v>
      </c>
      <c r="M422">
        <v>63</v>
      </c>
      <c r="N422">
        <v>1767</v>
      </c>
      <c r="O422">
        <v>2372696</v>
      </c>
      <c r="P422">
        <v>60</v>
      </c>
      <c r="Q422" t="s">
        <v>22</v>
      </c>
      <c r="R422">
        <v>55</v>
      </c>
      <c r="S422" t="s">
        <v>23</v>
      </c>
    </row>
    <row r="423" spans="1:19">
      <c r="A423" t="s">
        <v>869</v>
      </c>
      <c r="B423" t="s">
        <v>870</v>
      </c>
      <c r="C423" t="s">
        <v>55</v>
      </c>
      <c r="D423">
        <v>11</v>
      </c>
      <c r="E423">
        <v>70</v>
      </c>
      <c r="F423">
        <v>3643017</v>
      </c>
      <c r="G423">
        <v>16.579999999999998</v>
      </c>
      <c r="H423">
        <v>0.34</v>
      </c>
      <c r="I423">
        <v>626198</v>
      </c>
      <c r="J423">
        <v>361121</v>
      </c>
      <c r="K423">
        <v>419</v>
      </c>
      <c r="L423">
        <v>85</v>
      </c>
      <c r="M423">
        <v>62</v>
      </c>
      <c r="N423">
        <v>2955</v>
      </c>
      <c r="O423">
        <v>2626574</v>
      </c>
      <c r="P423">
        <v>97</v>
      </c>
      <c r="Q423" t="s">
        <v>22</v>
      </c>
      <c r="R423">
        <v>77</v>
      </c>
      <c r="S423" t="s">
        <v>28</v>
      </c>
    </row>
    <row r="424" spans="1:19">
      <c r="A424" t="s">
        <v>871</v>
      </c>
      <c r="B424" t="s">
        <v>740</v>
      </c>
      <c r="C424" t="s">
        <v>31</v>
      </c>
      <c r="D424">
        <v>16</v>
      </c>
      <c r="E424">
        <v>21</v>
      </c>
      <c r="F424">
        <v>3017228</v>
      </c>
      <c r="G424">
        <v>21.36</v>
      </c>
      <c r="H424">
        <v>0.15</v>
      </c>
      <c r="I424">
        <v>242249</v>
      </c>
      <c r="J424">
        <v>228408</v>
      </c>
      <c r="K424">
        <v>1814</v>
      </c>
      <c r="L424">
        <v>63</v>
      </c>
      <c r="M424">
        <v>68</v>
      </c>
      <c r="N424">
        <v>7046</v>
      </c>
      <c r="O424">
        <v>2700835</v>
      </c>
      <c r="P424">
        <v>97</v>
      </c>
      <c r="Q424" t="s">
        <v>27</v>
      </c>
      <c r="R424">
        <v>85</v>
      </c>
      <c r="S424" t="s">
        <v>137</v>
      </c>
    </row>
    <row r="425" spans="1:19">
      <c r="A425" t="s">
        <v>872</v>
      </c>
      <c r="B425" t="s">
        <v>873</v>
      </c>
      <c r="C425" t="s">
        <v>55</v>
      </c>
      <c r="D425">
        <v>11</v>
      </c>
      <c r="E425">
        <v>178</v>
      </c>
      <c r="F425">
        <v>1854741</v>
      </c>
      <c r="G425">
        <v>17.600000000000001</v>
      </c>
      <c r="H425">
        <v>0.13</v>
      </c>
      <c r="I425">
        <v>354296</v>
      </c>
      <c r="J425">
        <v>318620</v>
      </c>
      <c r="K425">
        <v>1974</v>
      </c>
      <c r="L425">
        <v>76</v>
      </c>
      <c r="M425">
        <v>82</v>
      </c>
      <c r="N425">
        <v>2387</v>
      </c>
      <c r="O425">
        <v>1070328</v>
      </c>
      <c r="P425">
        <v>96</v>
      </c>
      <c r="Q425" t="s">
        <v>22</v>
      </c>
      <c r="R425">
        <v>82</v>
      </c>
      <c r="S425" t="s">
        <v>137</v>
      </c>
    </row>
    <row r="426" spans="1:19">
      <c r="A426" t="s">
        <v>874</v>
      </c>
      <c r="B426" t="s">
        <v>462</v>
      </c>
      <c r="C426" t="s">
        <v>26</v>
      </c>
      <c r="D426">
        <v>12</v>
      </c>
      <c r="E426">
        <v>231</v>
      </c>
      <c r="F426">
        <v>1316995</v>
      </c>
      <c r="G426">
        <v>14.65</v>
      </c>
      <c r="H426">
        <v>0.41</v>
      </c>
      <c r="I426">
        <v>121345</v>
      </c>
      <c r="J426">
        <v>130568</v>
      </c>
      <c r="K426">
        <v>1675</v>
      </c>
      <c r="L426">
        <v>64</v>
      </c>
      <c r="M426">
        <v>81</v>
      </c>
      <c r="N426">
        <v>2716</v>
      </c>
      <c r="O426">
        <v>689830</v>
      </c>
      <c r="P426">
        <v>84</v>
      </c>
      <c r="Q426" t="s">
        <v>27</v>
      </c>
      <c r="R426">
        <v>70</v>
      </c>
      <c r="S426" t="s">
        <v>28</v>
      </c>
    </row>
    <row r="427" spans="1:19">
      <c r="A427" t="s">
        <v>875</v>
      </c>
      <c r="B427" t="s">
        <v>740</v>
      </c>
      <c r="C427" t="s">
        <v>75</v>
      </c>
      <c r="D427">
        <v>12</v>
      </c>
      <c r="E427">
        <v>234</v>
      </c>
      <c r="F427">
        <v>2030534</v>
      </c>
      <c r="G427">
        <v>10.11</v>
      </c>
      <c r="H427">
        <v>0.49</v>
      </c>
      <c r="I427">
        <v>529949</v>
      </c>
      <c r="J427">
        <v>200544</v>
      </c>
      <c r="K427">
        <v>1767</v>
      </c>
      <c r="L427">
        <v>93</v>
      </c>
      <c r="M427">
        <v>84</v>
      </c>
      <c r="N427">
        <v>1507</v>
      </c>
      <c r="O427">
        <v>1915869</v>
      </c>
      <c r="P427">
        <v>78</v>
      </c>
      <c r="Q427" t="s">
        <v>27</v>
      </c>
      <c r="R427">
        <v>63</v>
      </c>
      <c r="S427" t="s">
        <v>28</v>
      </c>
    </row>
    <row r="428" spans="1:19">
      <c r="A428" t="s">
        <v>876</v>
      </c>
      <c r="B428" t="s">
        <v>794</v>
      </c>
      <c r="C428" t="s">
        <v>31</v>
      </c>
      <c r="D428">
        <v>17</v>
      </c>
      <c r="E428">
        <v>202</v>
      </c>
      <c r="F428">
        <v>3659700</v>
      </c>
      <c r="G428">
        <v>21.71</v>
      </c>
      <c r="H428">
        <v>0.63</v>
      </c>
      <c r="I428">
        <v>-20920</v>
      </c>
      <c r="J428">
        <v>902469</v>
      </c>
      <c r="K428">
        <v>253</v>
      </c>
      <c r="L428">
        <v>83</v>
      </c>
      <c r="M428">
        <v>69</v>
      </c>
      <c r="N428">
        <v>3867</v>
      </c>
      <c r="O428">
        <v>2521304</v>
      </c>
      <c r="P428">
        <v>62</v>
      </c>
      <c r="Q428" t="s">
        <v>27</v>
      </c>
      <c r="R428">
        <v>66</v>
      </c>
      <c r="S428" t="s">
        <v>28</v>
      </c>
    </row>
    <row r="429" spans="1:19">
      <c r="A429" t="s">
        <v>877</v>
      </c>
      <c r="B429" t="s">
        <v>878</v>
      </c>
      <c r="C429" t="s">
        <v>38</v>
      </c>
      <c r="D429">
        <v>9</v>
      </c>
      <c r="E429">
        <v>175</v>
      </c>
      <c r="F429">
        <v>1381322</v>
      </c>
      <c r="G429">
        <v>19.420000000000002</v>
      </c>
      <c r="H429">
        <v>0.73</v>
      </c>
      <c r="I429">
        <v>468011</v>
      </c>
      <c r="J429">
        <v>224592</v>
      </c>
      <c r="K429">
        <v>1103</v>
      </c>
      <c r="L429">
        <v>52</v>
      </c>
      <c r="M429">
        <v>91</v>
      </c>
      <c r="N429">
        <v>3221</v>
      </c>
      <c r="O429">
        <v>975495</v>
      </c>
      <c r="P429">
        <v>66</v>
      </c>
      <c r="Q429" t="s">
        <v>27</v>
      </c>
      <c r="R429">
        <v>63</v>
      </c>
      <c r="S429" t="s">
        <v>28</v>
      </c>
    </row>
    <row r="430" spans="1:19">
      <c r="A430" t="s">
        <v>879</v>
      </c>
      <c r="B430" t="s">
        <v>740</v>
      </c>
      <c r="C430" t="s">
        <v>110</v>
      </c>
      <c r="D430">
        <v>17</v>
      </c>
      <c r="E430">
        <v>135</v>
      </c>
      <c r="F430">
        <v>525790</v>
      </c>
      <c r="G430">
        <v>10</v>
      </c>
      <c r="H430">
        <v>0.72</v>
      </c>
      <c r="I430">
        <v>234221</v>
      </c>
      <c r="J430">
        <v>222772</v>
      </c>
      <c r="K430">
        <v>1304</v>
      </c>
      <c r="L430">
        <v>95</v>
      </c>
      <c r="M430">
        <v>72</v>
      </c>
      <c r="N430">
        <v>2940</v>
      </c>
      <c r="O430">
        <v>312183</v>
      </c>
      <c r="P430">
        <v>79</v>
      </c>
      <c r="Q430" t="s">
        <v>27</v>
      </c>
      <c r="R430">
        <v>58</v>
      </c>
      <c r="S430" t="s">
        <v>23</v>
      </c>
    </row>
    <row r="431" spans="1:19">
      <c r="A431" t="s">
        <v>880</v>
      </c>
      <c r="B431" t="s">
        <v>881</v>
      </c>
      <c r="C431" t="s">
        <v>41</v>
      </c>
      <c r="D431">
        <v>10</v>
      </c>
      <c r="E431">
        <v>236</v>
      </c>
      <c r="F431">
        <v>1390402</v>
      </c>
      <c r="G431">
        <v>20.18</v>
      </c>
      <c r="H431">
        <v>0.12</v>
      </c>
      <c r="I431">
        <v>574834</v>
      </c>
      <c r="J431">
        <v>745558</v>
      </c>
      <c r="K431">
        <v>1344</v>
      </c>
      <c r="L431">
        <v>89</v>
      </c>
      <c r="M431">
        <v>89</v>
      </c>
      <c r="N431">
        <v>3167</v>
      </c>
      <c r="O431">
        <v>816339</v>
      </c>
      <c r="P431">
        <v>99</v>
      </c>
      <c r="Q431" t="s">
        <v>27</v>
      </c>
      <c r="R431">
        <v>85</v>
      </c>
      <c r="S431" t="s">
        <v>137</v>
      </c>
    </row>
    <row r="432" spans="1:19">
      <c r="A432" t="s">
        <v>882</v>
      </c>
      <c r="B432" t="s">
        <v>883</v>
      </c>
      <c r="C432" t="s">
        <v>31</v>
      </c>
      <c r="D432">
        <v>19</v>
      </c>
      <c r="E432">
        <v>56</v>
      </c>
      <c r="F432">
        <v>2343320</v>
      </c>
      <c r="G432">
        <v>23.54</v>
      </c>
      <c r="H432">
        <v>0.5</v>
      </c>
      <c r="I432">
        <v>601395</v>
      </c>
      <c r="J432">
        <v>641839</v>
      </c>
      <c r="K432">
        <v>1801</v>
      </c>
      <c r="L432">
        <v>70</v>
      </c>
      <c r="M432">
        <v>80</v>
      </c>
      <c r="N432">
        <v>5776</v>
      </c>
      <c r="O432">
        <v>2126064</v>
      </c>
      <c r="P432">
        <v>91</v>
      </c>
      <c r="Q432" t="s">
        <v>22</v>
      </c>
      <c r="R432">
        <v>78</v>
      </c>
      <c r="S432" t="s">
        <v>28</v>
      </c>
    </row>
    <row r="433" spans="1:19">
      <c r="A433" t="s">
        <v>884</v>
      </c>
      <c r="B433" t="s">
        <v>885</v>
      </c>
      <c r="C433" t="s">
        <v>38</v>
      </c>
      <c r="D433">
        <v>20</v>
      </c>
      <c r="E433">
        <v>219</v>
      </c>
      <c r="F433">
        <v>3011774</v>
      </c>
      <c r="G433">
        <v>18.47</v>
      </c>
      <c r="H433">
        <v>0.51</v>
      </c>
      <c r="I433">
        <v>964540</v>
      </c>
      <c r="J433">
        <v>417564</v>
      </c>
      <c r="K433">
        <v>1614</v>
      </c>
      <c r="L433">
        <v>81</v>
      </c>
      <c r="M433">
        <v>92</v>
      </c>
      <c r="N433">
        <v>5762</v>
      </c>
      <c r="O433">
        <v>1836888</v>
      </c>
      <c r="P433">
        <v>90</v>
      </c>
      <c r="Q433" t="s">
        <v>27</v>
      </c>
      <c r="R433">
        <v>73</v>
      </c>
      <c r="S433" t="s">
        <v>28</v>
      </c>
    </row>
    <row r="434" spans="1:19">
      <c r="A434" t="s">
        <v>886</v>
      </c>
      <c r="B434" t="s">
        <v>887</v>
      </c>
      <c r="C434" t="s">
        <v>26</v>
      </c>
      <c r="D434">
        <v>3</v>
      </c>
      <c r="E434">
        <v>170</v>
      </c>
      <c r="F434">
        <v>2690697</v>
      </c>
      <c r="G434">
        <v>20.41</v>
      </c>
      <c r="H434">
        <v>0.2</v>
      </c>
      <c r="I434">
        <v>271665</v>
      </c>
      <c r="J434">
        <v>938843</v>
      </c>
      <c r="K434">
        <v>1477</v>
      </c>
      <c r="L434">
        <v>72</v>
      </c>
      <c r="M434">
        <v>96</v>
      </c>
      <c r="N434">
        <v>5964</v>
      </c>
      <c r="O434">
        <v>1559657</v>
      </c>
      <c r="P434">
        <v>89</v>
      </c>
      <c r="Q434" t="s">
        <v>22</v>
      </c>
      <c r="R434">
        <v>81</v>
      </c>
      <c r="S434" t="s">
        <v>137</v>
      </c>
    </row>
    <row r="435" spans="1:19">
      <c r="A435" t="s">
        <v>888</v>
      </c>
      <c r="B435" t="s">
        <v>889</v>
      </c>
      <c r="C435" t="s">
        <v>21</v>
      </c>
      <c r="D435">
        <v>9</v>
      </c>
      <c r="E435">
        <v>191</v>
      </c>
      <c r="F435">
        <v>4892076</v>
      </c>
      <c r="G435">
        <v>18.2</v>
      </c>
      <c r="H435">
        <v>0.68</v>
      </c>
      <c r="I435">
        <v>-22427</v>
      </c>
      <c r="J435">
        <v>366003</v>
      </c>
      <c r="K435">
        <v>1856</v>
      </c>
      <c r="L435">
        <v>88</v>
      </c>
      <c r="M435">
        <v>81</v>
      </c>
      <c r="N435">
        <v>5759</v>
      </c>
      <c r="O435">
        <v>4554902</v>
      </c>
      <c r="P435">
        <v>88</v>
      </c>
      <c r="Q435" t="s">
        <v>22</v>
      </c>
      <c r="R435">
        <v>69</v>
      </c>
      <c r="S435" t="s">
        <v>28</v>
      </c>
    </row>
    <row r="436" spans="1:19">
      <c r="A436" t="s">
        <v>890</v>
      </c>
      <c r="B436" t="s">
        <v>891</v>
      </c>
      <c r="C436" t="s">
        <v>75</v>
      </c>
      <c r="D436">
        <v>5</v>
      </c>
      <c r="E436">
        <v>110</v>
      </c>
      <c r="F436">
        <v>3577035</v>
      </c>
      <c r="G436">
        <v>15.31</v>
      </c>
      <c r="H436">
        <v>0.37</v>
      </c>
      <c r="I436">
        <v>633531</v>
      </c>
      <c r="J436">
        <v>683769</v>
      </c>
      <c r="K436">
        <v>1626</v>
      </c>
      <c r="L436">
        <v>52</v>
      </c>
      <c r="M436">
        <v>77</v>
      </c>
      <c r="N436">
        <v>1111</v>
      </c>
      <c r="O436">
        <v>2477884</v>
      </c>
      <c r="P436">
        <v>66</v>
      </c>
      <c r="Q436" t="s">
        <v>27</v>
      </c>
      <c r="R436">
        <v>66</v>
      </c>
      <c r="S436" t="s">
        <v>28</v>
      </c>
    </row>
    <row r="437" spans="1:19">
      <c r="A437" t="s">
        <v>892</v>
      </c>
      <c r="B437" t="s">
        <v>893</v>
      </c>
      <c r="C437" t="s">
        <v>41</v>
      </c>
      <c r="D437">
        <v>5</v>
      </c>
      <c r="E437">
        <v>247</v>
      </c>
      <c r="F437">
        <v>2538795</v>
      </c>
      <c r="G437">
        <v>12.05</v>
      </c>
      <c r="H437">
        <v>0.39</v>
      </c>
      <c r="I437">
        <v>379282</v>
      </c>
      <c r="J437">
        <v>709765</v>
      </c>
      <c r="K437">
        <v>1188</v>
      </c>
      <c r="L437">
        <v>76</v>
      </c>
      <c r="M437">
        <v>89</v>
      </c>
      <c r="N437">
        <v>7630</v>
      </c>
      <c r="O437">
        <v>1939654</v>
      </c>
      <c r="P437">
        <v>92</v>
      </c>
      <c r="Q437" t="s">
        <v>22</v>
      </c>
      <c r="R437">
        <v>71</v>
      </c>
      <c r="S437" t="s">
        <v>28</v>
      </c>
    </row>
    <row r="438" spans="1:19">
      <c r="A438" t="s">
        <v>894</v>
      </c>
      <c r="B438" t="s">
        <v>895</v>
      </c>
      <c r="C438" t="s">
        <v>44</v>
      </c>
      <c r="D438">
        <v>13</v>
      </c>
      <c r="E438">
        <v>154</v>
      </c>
      <c r="F438">
        <v>1753031</v>
      </c>
      <c r="G438">
        <v>19.329999999999998</v>
      </c>
      <c r="H438">
        <v>1.08</v>
      </c>
      <c r="I438">
        <v>590408</v>
      </c>
      <c r="J438">
        <v>608247</v>
      </c>
      <c r="K438">
        <v>690</v>
      </c>
      <c r="L438">
        <v>79</v>
      </c>
      <c r="M438">
        <v>88</v>
      </c>
      <c r="N438">
        <v>1885</v>
      </c>
      <c r="O438">
        <v>1232621</v>
      </c>
      <c r="P438">
        <v>87</v>
      </c>
      <c r="Q438" t="s">
        <v>22</v>
      </c>
      <c r="R438">
        <v>62</v>
      </c>
      <c r="S438" t="s">
        <v>28</v>
      </c>
    </row>
    <row r="439" spans="1:19">
      <c r="A439" t="s">
        <v>896</v>
      </c>
      <c r="B439" t="s">
        <v>897</v>
      </c>
      <c r="C439" t="s">
        <v>26</v>
      </c>
      <c r="D439">
        <v>17</v>
      </c>
      <c r="E439">
        <v>61</v>
      </c>
      <c r="F439">
        <v>4339609</v>
      </c>
      <c r="G439">
        <v>2.0699999999999998</v>
      </c>
      <c r="H439">
        <v>0.79</v>
      </c>
      <c r="I439">
        <v>14689</v>
      </c>
      <c r="J439">
        <v>504690</v>
      </c>
      <c r="K439">
        <v>140</v>
      </c>
      <c r="L439">
        <v>95</v>
      </c>
      <c r="M439">
        <v>81</v>
      </c>
      <c r="N439">
        <v>676</v>
      </c>
      <c r="O439">
        <v>3786169</v>
      </c>
      <c r="P439">
        <v>78</v>
      </c>
      <c r="Q439" t="s">
        <v>22</v>
      </c>
      <c r="R439">
        <v>49</v>
      </c>
      <c r="S439" t="s">
        <v>23</v>
      </c>
    </row>
    <row r="440" spans="1:19">
      <c r="A440" t="s">
        <v>898</v>
      </c>
      <c r="B440" t="s">
        <v>899</v>
      </c>
      <c r="C440" t="s">
        <v>21</v>
      </c>
      <c r="D440">
        <v>10</v>
      </c>
      <c r="E440">
        <v>29</v>
      </c>
      <c r="F440">
        <v>3577071</v>
      </c>
      <c r="G440">
        <v>21.16</v>
      </c>
      <c r="H440">
        <v>0.73</v>
      </c>
      <c r="I440">
        <v>978629</v>
      </c>
      <c r="J440">
        <v>128243</v>
      </c>
      <c r="K440">
        <v>1645</v>
      </c>
      <c r="L440">
        <v>66</v>
      </c>
      <c r="M440">
        <v>74</v>
      </c>
      <c r="N440">
        <v>7935</v>
      </c>
      <c r="O440">
        <v>2896938</v>
      </c>
      <c r="P440">
        <v>69</v>
      </c>
      <c r="Q440" t="s">
        <v>27</v>
      </c>
      <c r="R440">
        <v>65</v>
      </c>
      <c r="S440" t="s">
        <v>28</v>
      </c>
    </row>
    <row r="441" spans="1:19">
      <c r="A441" t="s">
        <v>900</v>
      </c>
      <c r="B441" t="s">
        <v>901</v>
      </c>
      <c r="C441" t="s">
        <v>44</v>
      </c>
      <c r="D441">
        <v>5</v>
      </c>
      <c r="E441">
        <v>95</v>
      </c>
      <c r="F441">
        <v>2386510</v>
      </c>
      <c r="G441">
        <v>19.59</v>
      </c>
      <c r="H441">
        <v>1.0900000000000001</v>
      </c>
      <c r="I441">
        <v>265916</v>
      </c>
      <c r="J441">
        <v>327987</v>
      </c>
      <c r="K441">
        <v>1703</v>
      </c>
      <c r="L441">
        <v>62</v>
      </c>
      <c r="M441">
        <v>70</v>
      </c>
      <c r="N441">
        <v>7691</v>
      </c>
      <c r="O441">
        <v>1710894</v>
      </c>
      <c r="P441">
        <v>79</v>
      </c>
      <c r="Q441" t="s">
        <v>22</v>
      </c>
      <c r="R441">
        <v>60</v>
      </c>
      <c r="S441" t="s">
        <v>28</v>
      </c>
    </row>
    <row r="442" spans="1:19">
      <c r="A442" t="s">
        <v>902</v>
      </c>
      <c r="B442" t="s">
        <v>903</v>
      </c>
      <c r="C442" t="s">
        <v>75</v>
      </c>
      <c r="D442">
        <v>12</v>
      </c>
      <c r="E442">
        <v>109</v>
      </c>
      <c r="F442">
        <v>2432732</v>
      </c>
      <c r="G442">
        <v>12.6</v>
      </c>
      <c r="H442">
        <v>0.34</v>
      </c>
      <c r="I442">
        <v>730513</v>
      </c>
      <c r="J442">
        <v>499138</v>
      </c>
      <c r="K442">
        <v>536</v>
      </c>
      <c r="L442">
        <v>72</v>
      </c>
      <c r="M442">
        <v>70</v>
      </c>
      <c r="N442">
        <v>1830</v>
      </c>
      <c r="O442">
        <v>1913254</v>
      </c>
      <c r="P442">
        <v>64</v>
      </c>
      <c r="Q442" t="s">
        <v>27</v>
      </c>
      <c r="R442">
        <v>64</v>
      </c>
      <c r="S442" t="s">
        <v>28</v>
      </c>
    </row>
    <row r="443" spans="1:19">
      <c r="A443" t="s">
        <v>904</v>
      </c>
      <c r="B443" t="s">
        <v>905</v>
      </c>
      <c r="C443" t="s">
        <v>31</v>
      </c>
      <c r="D443">
        <v>20</v>
      </c>
      <c r="E443">
        <v>236</v>
      </c>
      <c r="F443">
        <v>3419155</v>
      </c>
      <c r="G443">
        <v>23.36</v>
      </c>
      <c r="H443">
        <v>0.56999999999999995</v>
      </c>
      <c r="I443">
        <v>664683</v>
      </c>
      <c r="J443">
        <v>226779</v>
      </c>
      <c r="K443">
        <v>840</v>
      </c>
      <c r="L443">
        <v>65</v>
      </c>
      <c r="M443">
        <v>67</v>
      </c>
      <c r="N443">
        <v>3237</v>
      </c>
      <c r="O443">
        <v>1865677</v>
      </c>
      <c r="P443">
        <v>61</v>
      </c>
      <c r="Q443" t="s">
        <v>22</v>
      </c>
      <c r="R443">
        <v>68</v>
      </c>
      <c r="S443" t="s">
        <v>28</v>
      </c>
    </row>
    <row r="444" spans="1:19">
      <c r="A444" t="s">
        <v>906</v>
      </c>
      <c r="B444" t="s">
        <v>907</v>
      </c>
      <c r="C444" t="s">
        <v>55</v>
      </c>
      <c r="D444">
        <v>5</v>
      </c>
      <c r="E444">
        <v>220</v>
      </c>
      <c r="F444">
        <v>2265649</v>
      </c>
      <c r="G444">
        <v>3.54</v>
      </c>
      <c r="H444">
        <v>0.36</v>
      </c>
      <c r="I444">
        <v>-46786</v>
      </c>
      <c r="J444">
        <v>753323</v>
      </c>
      <c r="K444">
        <v>1383</v>
      </c>
      <c r="L444">
        <v>65</v>
      </c>
      <c r="M444">
        <v>98</v>
      </c>
      <c r="N444">
        <v>4201</v>
      </c>
      <c r="O444">
        <v>1196259</v>
      </c>
      <c r="P444">
        <v>87</v>
      </c>
      <c r="Q444" t="s">
        <v>27</v>
      </c>
      <c r="R444">
        <v>62</v>
      </c>
      <c r="S444" t="s">
        <v>28</v>
      </c>
    </row>
    <row r="445" spans="1:19">
      <c r="A445" t="s">
        <v>908</v>
      </c>
      <c r="B445" t="s">
        <v>909</v>
      </c>
      <c r="C445" t="s">
        <v>44</v>
      </c>
      <c r="D445">
        <v>17</v>
      </c>
      <c r="E445">
        <v>198</v>
      </c>
      <c r="F445">
        <v>1542050</v>
      </c>
      <c r="G445">
        <v>8.16</v>
      </c>
      <c r="H445">
        <v>0.46</v>
      </c>
      <c r="I445">
        <v>487769</v>
      </c>
      <c r="J445">
        <v>719722</v>
      </c>
      <c r="K445">
        <v>1063</v>
      </c>
      <c r="L445">
        <v>55</v>
      </c>
      <c r="M445">
        <v>60</v>
      </c>
      <c r="N445">
        <v>4504</v>
      </c>
      <c r="O445">
        <v>1225533</v>
      </c>
      <c r="P445">
        <v>92</v>
      </c>
      <c r="Q445" t="s">
        <v>22</v>
      </c>
      <c r="R445">
        <v>66</v>
      </c>
      <c r="S445" t="s">
        <v>28</v>
      </c>
    </row>
    <row r="446" spans="1:19">
      <c r="A446" t="s">
        <v>910</v>
      </c>
      <c r="B446" t="s">
        <v>911</v>
      </c>
      <c r="C446" t="s">
        <v>41</v>
      </c>
      <c r="D446">
        <v>2</v>
      </c>
      <c r="E446">
        <v>199</v>
      </c>
      <c r="F446">
        <v>2401876</v>
      </c>
      <c r="G446">
        <v>5.44</v>
      </c>
      <c r="H446">
        <v>0.98</v>
      </c>
      <c r="I446">
        <v>-53769</v>
      </c>
      <c r="J446">
        <v>393331</v>
      </c>
      <c r="K446">
        <v>1274</v>
      </c>
      <c r="L446">
        <v>77</v>
      </c>
      <c r="M446">
        <v>75</v>
      </c>
      <c r="N446">
        <v>6053</v>
      </c>
      <c r="O446">
        <v>1940068</v>
      </c>
      <c r="P446">
        <v>77</v>
      </c>
      <c r="Q446" t="s">
        <v>22</v>
      </c>
      <c r="R446">
        <v>48</v>
      </c>
      <c r="S446" t="s">
        <v>23</v>
      </c>
    </row>
    <row r="447" spans="1:19">
      <c r="A447" t="s">
        <v>912</v>
      </c>
      <c r="B447" t="s">
        <v>913</v>
      </c>
      <c r="C447" t="s">
        <v>44</v>
      </c>
      <c r="D447">
        <v>19</v>
      </c>
      <c r="E447">
        <v>161</v>
      </c>
      <c r="F447">
        <v>4890895</v>
      </c>
      <c r="G447">
        <v>20.16</v>
      </c>
      <c r="H447">
        <v>0.27</v>
      </c>
      <c r="I447">
        <v>10134</v>
      </c>
      <c r="J447">
        <v>475587</v>
      </c>
      <c r="K447">
        <v>545</v>
      </c>
      <c r="L447">
        <v>68</v>
      </c>
      <c r="M447">
        <v>97</v>
      </c>
      <c r="N447">
        <v>5830</v>
      </c>
      <c r="O447">
        <v>4521603</v>
      </c>
      <c r="P447">
        <v>60</v>
      </c>
      <c r="Q447" t="s">
        <v>27</v>
      </c>
      <c r="R447">
        <v>71</v>
      </c>
      <c r="S447" t="s">
        <v>28</v>
      </c>
    </row>
    <row r="448" spans="1:19">
      <c r="A448" t="s">
        <v>914</v>
      </c>
      <c r="B448" t="s">
        <v>915</v>
      </c>
      <c r="C448" t="s">
        <v>44</v>
      </c>
      <c r="D448">
        <v>17</v>
      </c>
      <c r="E448">
        <v>80</v>
      </c>
      <c r="F448">
        <v>2738271</v>
      </c>
      <c r="G448">
        <v>13.5</v>
      </c>
      <c r="H448">
        <v>1</v>
      </c>
      <c r="I448">
        <v>418892</v>
      </c>
      <c r="J448">
        <v>703434</v>
      </c>
      <c r="K448">
        <v>196</v>
      </c>
      <c r="L448">
        <v>73</v>
      </c>
      <c r="M448">
        <v>77</v>
      </c>
      <c r="N448">
        <v>7611</v>
      </c>
      <c r="O448">
        <v>2013595</v>
      </c>
      <c r="P448">
        <v>89</v>
      </c>
      <c r="Q448" t="s">
        <v>22</v>
      </c>
      <c r="R448">
        <v>59</v>
      </c>
      <c r="S448" t="s">
        <v>23</v>
      </c>
    </row>
    <row r="449" spans="1:19">
      <c r="A449" t="s">
        <v>916</v>
      </c>
      <c r="B449" t="s">
        <v>917</v>
      </c>
      <c r="C449" t="s">
        <v>55</v>
      </c>
      <c r="D449">
        <v>15</v>
      </c>
      <c r="E449">
        <v>15</v>
      </c>
      <c r="F449">
        <v>4645471</v>
      </c>
      <c r="G449">
        <v>13.57</v>
      </c>
      <c r="H449">
        <v>0.2</v>
      </c>
      <c r="I449">
        <v>553560</v>
      </c>
      <c r="J449">
        <v>174961</v>
      </c>
      <c r="K449">
        <v>376</v>
      </c>
      <c r="L449">
        <v>83</v>
      </c>
      <c r="M449">
        <v>70</v>
      </c>
      <c r="N449">
        <v>6398</v>
      </c>
      <c r="O449">
        <v>3432843</v>
      </c>
      <c r="P449">
        <v>94</v>
      </c>
      <c r="Q449" t="s">
        <v>27</v>
      </c>
      <c r="R449">
        <v>76</v>
      </c>
      <c r="S449" t="s">
        <v>28</v>
      </c>
    </row>
    <row r="450" spans="1:19">
      <c r="A450" t="s">
        <v>918</v>
      </c>
      <c r="B450" t="s">
        <v>919</v>
      </c>
      <c r="C450" t="s">
        <v>38</v>
      </c>
      <c r="D450">
        <v>15</v>
      </c>
      <c r="E450">
        <v>108</v>
      </c>
      <c r="F450">
        <v>4686308</v>
      </c>
      <c r="G450">
        <v>17</v>
      </c>
      <c r="H450">
        <v>0.13</v>
      </c>
      <c r="I450">
        <v>266355</v>
      </c>
      <c r="J450">
        <v>406846</v>
      </c>
      <c r="K450">
        <v>1527</v>
      </c>
      <c r="L450">
        <v>55</v>
      </c>
      <c r="M450">
        <v>85</v>
      </c>
      <c r="N450">
        <v>1349</v>
      </c>
      <c r="O450">
        <v>2854490</v>
      </c>
      <c r="P450">
        <v>79</v>
      </c>
      <c r="Q450" t="s">
        <v>22</v>
      </c>
      <c r="R450">
        <v>76</v>
      </c>
      <c r="S450" t="s">
        <v>28</v>
      </c>
    </row>
    <row r="451" spans="1:19">
      <c r="A451" t="s">
        <v>920</v>
      </c>
      <c r="B451" t="s">
        <v>921</v>
      </c>
      <c r="C451" t="s">
        <v>64</v>
      </c>
      <c r="D451">
        <v>6</v>
      </c>
      <c r="E451">
        <v>167</v>
      </c>
      <c r="F451">
        <v>3338963</v>
      </c>
      <c r="G451">
        <v>10.36</v>
      </c>
      <c r="H451">
        <v>0.92</v>
      </c>
      <c r="I451">
        <v>78861</v>
      </c>
      <c r="J451">
        <v>502796</v>
      </c>
      <c r="K451">
        <v>1844</v>
      </c>
      <c r="L451">
        <v>64</v>
      </c>
      <c r="M451">
        <v>71</v>
      </c>
      <c r="N451">
        <v>3472</v>
      </c>
      <c r="O451">
        <v>2971641</v>
      </c>
      <c r="P451">
        <v>76</v>
      </c>
      <c r="Q451" t="s">
        <v>22</v>
      </c>
      <c r="R451">
        <v>54</v>
      </c>
      <c r="S451" t="s">
        <v>23</v>
      </c>
    </row>
    <row r="452" spans="1:19">
      <c r="A452" t="s">
        <v>922</v>
      </c>
      <c r="B452" t="s">
        <v>923</v>
      </c>
      <c r="C452" t="s">
        <v>44</v>
      </c>
      <c r="D452">
        <v>5</v>
      </c>
      <c r="E452">
        <v>237</v>
      </c>
      <c r="F452">
        <v>3562803</v>
      </c>
      <c r="G452">
        <v>6.45</v>
      </c>
      <c r="H452">
        <v>0.27</v>
      </c>
      <c r="I452">
        <v>786066</v>
      </c>
      <c r="J452">
        <v>460355</v>
      </c>
      <c r="K452">
        <v>1941</v>
      </c>
      <c r="L452">
        <v>87</v>
      </c>
      <c r="M452">
        <v>86</v>
      </c>
      <c r="N452">
        <v>1742</v>
      </c>
      <c r="O452">
        <v>2269381</v>
      </c>
      <c r="P452">
        <v>62</v>
      </c>
      <c r="Q452" t="s">
        <v>27</v>
      </c>
      <c r="R452">
        <v>59</v>
      </c>
      <c r="S452" t="s">
        <v>23</v>
      </c>
    </row>
    <row r="453" spans="1:19">
      <c r="A453" t="s">
        <v>924</v>
      </c>
      <c r="B453" t="s">
        <v>925</v>
      </c>
      <c r="C453" t="s">
        <v>110</v>
      </c>
      <c r="D453">
        <v>17</v>
      </c>
      <c r="E453">
        <v>103</v>
      </c>
      <c r="F453">
        <v>1252390</v>
      </c>
      <c r="G453">
        <v>14.88</v>
      </c>
      <c r="H453">
        <v>0.83</v>
      </c>
      <c r="I453">
        <v>264921</v>
      </c>
      <c r="J453">
        <v>613554</v>
      </c>
      <c r="K453">
        <v>741</v>
      </c>
      <c r="L453">
        <v>53</v>
      </c>
      <c r="M453">
        <v>76</v>
      </c>
      <c r="N453">
        <v>3241</v>
      </c>
      <c r="O453">
        <v>827944</v>
      </c>
      <c r="P453">
        <v>87</v>
      </c>
      <c r="Q453" t="s">
        <v>27</v>
      </c>
      <c r="R453">
        <v>63</v>
      </c>
      <c r="S453" t="s">
        <v>28</v>
      </c>
    </row>
    <row r="454" spans="1:19">
      <c r="A454" t="s">
        <v>926</v>
      </c>
      <c r="B454" t="s">
        <v>927</v>
      </c>
      <c r="C454" t="s">
        <v>31</v>
      </c>
      <c r="D454">
        <v>14</v>
      </c>
      <c r="E454">
        <v>92</v>
      </c>
      <c r="F454">
        <v>4921814</v>
      </c>
      <c r="G454">
        <v>2.96</v>
      </c>
      <c r="H454">
        <v>0.11</v>
      </c>
      <c r="I454">
        <v>17491</v>
      </c>
      <c r="J454">
        <v>454099</v>
      </c>
      <c r="K454">
        <v>1074</v>
      </c>
      <c r="L454">
        <v>93</v>
      </c>
      <c r="M454">
        <v>62</v>
      </c>
      <c r="N454">
        <v>1919</v>
      </c>
      <c r="O454">
        <v>2945987</v>
      </c>
      <c r="P454">
        <v>80</v>
      </c>
      <c r="Q454" t="s">
        <v>27</v>
      </c>
      <c r="R454">
        <v>64</v>
      </c>
      <c r="S454" t="s">
        <v>28</v>
      </c>
    </row>
    <row r="455" spans="1:19">
      <c r="A455" t="s">
        <v>928</v>
      </c>
      <c r="B455" t="s">
        <v>929</v>
      </c>
      <c r="C455" t="s">
        <v>41</v>
      </c>
      <c r="D455">
        <v>4</v>
      </c>
      <c r="E455">
        <v>94</v>
      </c>
      <c r="F455">
        <v>2118886</v>
      </c>
      <c r="G455">
        <v>20.239999999999998</v>
      </c>
      <c r="H455">
        <v>0.43</v>
      </c>
      <c r="I455">
        <v>665473</v>
      </c>
      <c r="J455">
        <v>601327</v>
      </c>
      <c r="K455">
        <v>193</v>
      </c>
      <c r="L455">
        <v>61</v>
      </c>
      <c r="M455">
        <v>90</v>
      </c>
      <c r="N455">
        <v>4454</v>
      </c>
      <c r="O455">
        <v>1136026</v>
      </c>
      <c r="P455">
        <v>88</v>
      </c>
      <c r="Q455" t="s">
        <v>22</v>
      </c>
      <c r="R455">
        <v>76</v>
      </c>
      <c r="S455" t="s">
        <v>28</v>
      </c>
    </row>
    <row r="456" spans="1:19">
      <c r="A456" t="s">
        <v>930</v>
      </c>
      <c r="B456" t="s">
        <v>931</v>
      </c>
      <c r="C456" t="s">
        <v>110</v>
      </c>
      <c r="D456">
        <v>14</v>
      </c>
      <c r="E456">
        <v>165</v>
      </c>
      <c r="F456">
        <v>4690936</v>
      </c>
      <c r="G456">
        <v>21.37</v>
      </c>
      <c r="H456">
        <v>0.95</v>
      </c>
      <c r="I456">
        <v>673645</v>
      </c>
      <c r="J456">
        <v>104568</v>
      </c>
      <c r="K456">
        <v>143</v>
      </c>
      <c r="L456">
        <v>93</v>
      </c>
      <c r="M456">
        <v>60</v>
      </c>
      <c r="N456">
        <v>3704</v>
      </c>
      <c r="O456">
        <v>3733438</v>
      </c>
      <c r="P456">
        <v>67</v>
      </c>
      <c r="Q456" t="s">
        <v>22</v>
      </c>
      <c r="R456">
        <v>60</v>
      </c>
      <c r="S456" t="s">
        <v>28</v>
      </c>
    </row>
    <row r="457" spans="1:19">
      <c r="A457" t="s">
        <v>932</v>
      </c>
      <c r="B457" t="s">
        <v>933</v>
      </c>
      <c r="C457" t="s">
        <v>75</v>
      </c>
      <c r="D457">
        <v>16</v>
      </c>
      <c r="E457">
        <v>60</v>
      </c>
      <c r="F457">
        <v>4431796</v>
      </c>
      <c r="G457">
        <v>6.62</v>
      </c>
      <c r="H457">
        <v>0.66</v>
      </c>
      <c r="I457">
        <v>552369</v>
      </c>
      <c r="J457">
        <v>301702</v>
      </c>
      <c r="K457">
        <v>378</v>
      </c>
      <c r="L457">
        <v>66</v>
      </c>
      <c r="M457">
        <v>84</v>
      </c>
      <c r="N457">
        <v>2121</v>
      </c>
      <c r="O457">
        <v>3548065</v>
      </c>
      <c r="P457">
        <v>63</v>
      </c>
      <c r="Q457" t="s">
        <v>22</v>
      </c>
      <c r="R457">
        <v>52</v>
      </c>
      <c r="S457" t="s">
        <v>23</v>
      </c>
    </row>
    <row r="458" spans="1:19">
      <c r="A458" t="s">
        <v>934</v>
      </c>
      <c r="B458" t="s">
        <v>935</v>
      </c>
      <c r="C458" t="s">
        <v>26</v>
      </c>
      <c r="D458">
        <v>5</v>
      </c>
      <c r="E458">
        <v>153</v>
      </c>
      <c r="F458">
        <v>3940897</v>
      </c>
      <c r="G458">
        <v>22.92</v>
      </c>
      <c r="H458">
        <v>1.05</v>
      </c>
      <c r="I458">
        <v>95965</v>
      </c>
      <c r="J458">
        <v>896877</v>
      </c>
      <c r="K458">
        <v>1504</v>
      </c>
      <c r="L458">
        <v>65</v>
      </c>
      <c r="M458">
        <v>81</v>
      </c>
      <c r="N458">
        <v>1667</v>
      </c>
      <c r="O458">
        <v>2320916</v>
      </c>
      <c r="P458">
        <v>63</v>
      </c>
      <c r="Q458" t="s">
        <v>22</v>
      </c>
      <c r="R458">
        <v>59</v>
      </c>
      <c r="S458" t="s">
        <v>23</v>
      </c>
    </row>
    <row r="459" spans="1:19">
      <c r="A459" t="s">
        <v>936</v>
      </c>
      <c r="B459" t="s">
        <v>937</v>
      </c>
      <c r="C459" t="s">
        <v>21</v>
      </c>
      <c r="D459">
        <v>14</v>
      </c>
      <c r="E459">
        <v>129</v>
      </c>
      <c r="F459">
        <v>1660585</v>
      </c>
      <c r="G459">
        <v>21.87</v>
      </c>
      <c r="H459">
        <v>1.2</v>
      </c>
      <c r="I459">
        <v>280460</v>
      </c>
      <c r="J459">
        <v>641292</v>
      </c>
      <c r="K459">
        <v>1743</v>
      </c>
      <c r="L459">
        <v>86</v>
      </c>
      <c r="M459">
        <v>78</v>
      </c>
      <c r="N459">
        <v>981</v>
      </c>
      <c r="O459">
        <v>1383590</v>
      </c>
      <c r="P459">
        <v>93</v>
      </c>
      <c r="Q459" t="s">
        <v>27</v>
      </c>
      <c r="R459">
        <v>64</v>
      </c>
      <c r="S459" t="s">
        <v>28</v>
      </c>
    </row>
    <row r="460" spans="1:19">
      <c r="A460" t="s">
        <v>938</v>
      </c>
      <c r="B460" t="s">
        <v>939</v>
      </c>
      <c r="C460" t="s">
        <v>55</v>
      </c>
      <c r="D460">
        <v>16</v>
      </c>
      <c r="E460">
        <v>76</v>
      </c>
      <c r="F460">
        <v>2356983</v>
      </c>
      <c r="G460">
        <v>14.67</v>
      </c>
      <c r="H460">
        <v>0.32</v>
      </c>
      <c r="I460">
        <v>44056</v>
      </c>
      <c r="J460">
        <v>104228</v>
      </c>
      <c r="K460">
        <v>888</v>
      </c>
      <c r="L460">
        <v>61</v>
      </c>
      <c r="M460">
        <v>61</v>
      </c>
      <c r="N460">
        <v>4355</v>
      </c>
      <c r="O460">
        <v>1775590</v>
      </c>
      <c r="P460">
        <v>67</v>
      </c>
      <c r="Q460" t="s">
        <v>22</v>
      </c>
      <c r="R460">
        <v>67</v>
      </c>
      <c r="S460" t="s">
        <v>28</v>
      </c>
    </row>
    <row r="461" spans="1:19">
      <c r="A461" t="s">
        <v>940</v>
      </c>
      <c r="B461" t="s">
        <v>941</v>
      </c>
      <c r="C461" t="s">
        <v>75</v>
      </c>
      <c r="D461">
        <v>14</v>
      </c>
      <c r="E461">
        <v>155</v>
      </c>
      <c r="F461">
        <v>1980006</v>
      </c>
      <c r="G461">
        <v>4.0199999999999996</v>
      </c>
      <c r="H461">
        <v>0.64</v>
      </c>
      <c r="I461">
        <v>785838</v>
      </c>
      <c r="J461">
        <v>555415</v>
      </c>
      <c r="K461">
        <v>222</v>
      </c>
      <c r="L461">
        <v>46</v>
      </c>
      <c r="M461">
        <v>61</v>
      </c>
      <c r="N461">
        <v>3138</v>
      </c>
      <c r="O461">
        <v>1385859</v>
      </c>
      <c r="P461">
        <v>86</v>
      </c>
      <c r="Q461" t="s">
        <v>22</v>
      </c>
      <c r="R461">
        <v>57</v>
      </c>
      <c r="S461" t="s">
        <v>23</v>
      </c>
    </row>
    <row r="462" spans="1:19">
      <c r="A462" t="s">
        <v>942</v>
      </c>
      <c r="B462" t="s">
        <v>943</v>
      </c>
      <c r="C462" t="s">
        <v>26</v>
      </c>
      <c r="D462">
        <v>7</v>
      </c>
      <c r="E462">
        <v>225</v>
      </c>
      <c r="F462">
        <v>3787321</v>
      </c>
      <c r="G462">
        <v>18.13</v>
      </c>
      <c r="H462">
        <v>0.82</v>
      </c>
      <c r="I462">
        <v>375796</v>
      </c>
      <c r="J462">
        <v>503545</v>
      </c>
      <c r="K462">
        <v>811</v>
      </c>
      <c r="L462">
        <v>91</v>
      </c>
      <c r="M462">
        <v>65</v>
      </c>
      <c r="N462">
        <v>5232</v>
      </c>
      <c r="O462">
        <v>2382617</v>
      </c>
      <c r="P462">
        <v>75</v>
      </c>
      <c r="Q462" t="s">
        <v>27</v>
      </c>
      <c r="R462">
        <v>62</v>
      </c>
      <c r="S462" t="s">
        <v>28</v>
      </c>
    </row>
    <row r="463" spans="1:19">
      <c r="A463" t="s">
        <v>944</v>
      </c>
      <c r="B463" t="s">
        <v>945</v>
      </c>
      <c r="C463" t="s">
        <v>55</v>
      </c>
      <c r="D463">
        <v>16</v>
      </c>
      <c r="E463">
        <v>28</v>
      </c>
      <c r="F463">
        <v>3344220</v>
      </c>
      <c r="G463">
        <v>18.25</v>
      </c>
      <c r="H463">
        <v>0.56000000000000005</v>
      </c>
      <c r="I463">
        <v>860830</v>
      </c>
      <c r="J463">
        <v>199044</v>
      </c>
      <c r="K463">
        <v>1213</v>
      </c>
      <c r="L463">
        <v>53</v>
      </c>
      <c r="M463">
        <v>94</v>
      </c>
      <c r="N463">
        <v>6078</v>
      </c>
      <c r="O463">
        <v>2205343</v>
      </c>
      <c r="P463">
        <v>84</v>
      </c>
      <c r="Q463" t="s">
        <v>27</v>
      </c>
      <c r="R463">
        <v>70</v>
      </c>
      <c r="S463" t="s">
        <v>28</v>
      </c>
    </row>
    <row r="464" spans="1:19">
      <c r="A464" t="s">
        <v>946</v>
      </c>
      <c r="B464" t="s">
        <v>947</v>
      </c>
      <c r="C464" t="s">
        <v>75</v>
      </c>
      <c r="D464">
        <v>5</v>
      </c>
      <c r="E464">
        <v>157</v>
      </c>
      <c r="F464">
        <v>3379437</v>
      </c>
      <c r="G464">
        <v>8.9499999999999993</v>
      </c>
      <c r="H464">
        <v>0.37</v>
      </c>
      <c r="I464">
        <v>336905</v>
      </c>
      <c r="J464">
        <v>949790</v>
      </c>
      <c r="K464">
        <v>1674</v>
      </c>
      <c r="L464">
        <v>83</v>
      </c>
      <c r="M464">
        <v>87</v>
      </c>
      <c r="N464">
        <v>3826</v>
      </c>
      <c r="O464">
        <v>2055538</v>
      </c>
      <c r="P464">
        <v>93</v>
      </c>
      <c r="Q464" t="s">
        <v>27</v>
      </c>
      <c r="R464">
        <v>69</v>
      </c>
      <c r="S464" t="s">
        <v>28</v>
      </c>
    </row>
    <row r="465" spans="1:19">
      <c r="A465" t="s">
        <v>948</v>
      </c>
      <c r="B465" t="s">
        <v>949</v>
      </c>
      <c r="C465" t="s">
        <v>38</v>
      </c>
      <c r="D465">
        <v>4</v>
      </c>
      <c r="E465">
        <v>133</v>
      </c>
      <c r="F465">
        <v>4954434</v>
      </c>
      <c r="G465">
        <v>9.51</v>
      </c>
      <c r="H465">
        <v>1.0900000000000001</v>
      </c>
      <c r="I465">
        <v>849184</v>
      </c>
      <c r="J465">
        <v>689301</v>
      </c>
      <c r="K465">
        <v>1897</v>
      </c>
      <c r="L465">
        <v>77</v>
      </c>
      <c r="M465">
        <v>66</v>
      </c>
      <c r="N465">
        <v>869</v>
      </c>
      <c r="O465">
        <v>4385147</v>
      </c>
      <c r="P465">
        <v>87</v>
      </c>
      <c r="Q465" t="s">
        <v>22</v>
      </c>
      <c r="R465">
        <v>53</v>
      </c>
      <c r="S465" t="s">
        <v>23</v>
      </c>
    </row>
    <row r="466" spans="1:19">
      <c r="A466" t="s">
        <v>950</v>
      </c>
      <c r="B466" t="s">
        <v>951</v>
      </c>
      <c r="C466" t="s">
        <v>26</v>
      </c>
      <c r="D466">
        <v>5</v>
      </c>
      <c r="E466">
        <v>125</v>
      </c>
      <c r="F466">
        <v>4968831</v>
      </c>
      <c r="G466">
        <v>24.03</v>
      </c>
      <c r="H466">
        <v>0.5</v>
      </c>
      <c r="I466">
        <v>753138</v>
      </c>
      <c r="J466">
        <v>585963</v>
      </c>
      <c r="K466">
        <v>757</v>
      </c>
      <c r="L466">
        <v>83</v>
      </c>
      <c r="M466">
        <v>80</v>
      </c>
      <c r="N466">
        <v>4261</v>
      </c>
      <c r="O466">
        <v>3994088</v>
      </c>
      <c r="P466">
        <v>68</v>
      </c>
      <c r="Q466" t="s">
        <v>22</v>
      </c>
      <c r="R466">
        <v>72</v>
      </c>
      <c r="S466" t="s">
        <v>28</v>
      </c>
    </row>
    <row r="467" spans="1:19">
      <c r="A467" t="s">
        <v>952</v>
      </c>
      <c r="B467" t="s">
        <v>953</v>
      </c>
      <c r="C467" t="s">
        <v>64</v>
      </c>
      <c r="D467">
        <v>9</v>
      </c>
      <c r="E467">
        <v>141</v>
      </c>
      <c r="F467">
        <v>2514304</v>
      </c>
      <c r="G467">
        <v>15.83</v>
      </c>
      <c r="H467">
        <v>0.76</v>
      </c>
      <c r="I467">
        <v>27739</v>
      </c>
      <c r="J467">
        <v>976529</v>
      </c>
      <c r="K467">
        <v>1049</v>
      </c>
      <c r="L467">
        <v>65</v>
      </c>
      <c r="M467">
        <v>81</v>
      </c>
      <c r="N467">
        <v>6156</v>
      </c>
      <c r="O467">
        <v>1557980</v>
      </c>
      <c r="P467">
        <v>65</v>
      </c>
      <c r="Q467" t="s">
        <v>22</v>
      </c>
      <c r="R467">
        <v>59</v>
      </c>
      <c r="S467" t="s">
        <v>23</v>
      </c>
    </row>
    <row r="468" spans="1:19">
      <c r="A468" t="s">
        <v>954</v>
      </c>
      <c r="B468" t="s">
        <v>955</v>
      </c>
      <c r="C468" t="s">
        <v>55</v>
      </c>
      <c r="D468">
        <v>14</v>
      </c>
      <c r="E468">
        <v>88</v>
      </c>
      <c r="F468">
        <v>3520793</v>
      </c>
      <c r="G468">
        <v>4.4000000000000004</v>
      </c>
      <c r="H468">
        <v>0.83</v>
      </c>
      <c r="I468">
        <v>739137</v>
      </c>
      <c r="J468">
        <v>983311</v>
      </c>
      <c r="K468">
        <v>160</v>
      </c>
      <c r="L468">
        <v>77</v>
      </c>
      <c r="M468">
        <v>87</v>
      </c>
      <c r="N468">
        <v>2809</v>
      </c>
      <c r="O468">
        <v>1895469</v>
      </c>
      <c r="P468">
        <v>98</v>
      </c>
      <c r="Q468" t="s">
        <v>27</v>
      </c>
      <c r="R468">
        <v>57</v>
      </c>
      <c r="S468" t="s">
        <v>23</v>
      </c>
    </row>
    <row r="469" spans="1:19">
      <c r="A469" t="s">
        <v>956</v>
      </c>
      <c r="B469" t="s">
        <v>957</v>
      </c>
      <c r="C469" t="s">
        <v>75</v>
      </c>
      <c r="D469">
        <v>10</v>
      </c>
      <c r="E469">
        <v>244</v>
      </c>
      <c r="F469">
        <v>3787923</v>
      </c>
      <c r="G469">
        <v>9.11</v>
      </c>
      <c r="H469">
        <v>0.49</v>
      </c>
      <c r="I469">
        <v>332449</v>
      </c>
      <c r="J469">
        <v>500380</v>
      </c>
      <c r="K469">
        <v>1829</v>
      </c>
      <c r="L469">
        <v>48</v>
      </c>
      <c r="M469">
        <v>95</v>
      </c>
      <c r="N469">
        <v>2074</v>
      </c>
      <c r="O469">
        <v>3476254</v>
      </c>
      <c r="P469">
        <v>79</v>
      </c>
      <c r="Q469" t="s">
        <v>27</v>
      </c>
      <c r="R469">
        <v>62</v>
      </c>
      <c r="S469" t="s">
        <v>28</v>
      </c>
    </row>
    <row r="470" spans="1:19">
      <c r="A470" t="s">
        <v>958</v>
      </c>
      <c r="B470" t="s">
        <v>959</v>
      </c>
      <c r="C470" t="s">
        <v>75</v>
      </c>
      <c r="D470">
        <v>15</v>
      </c>
      <c r="E470">
        <v>163</v>
      </c>
      <c r="F470">
        <v>4479111</v>
      </c>
      <c r="G470">
        <v>24.15</v>
      </c>
      <c r="H470">
        <v>0.28999999999999998</v>
      </c>
      <c r="I470">
        <v>-50089</v>
      </c>
      <c r="J470">
        <v>193548</v>
      </c>
      <c r="K470">
        <v>1634</v>
      </c>
      <c r="L470">
        <v>75</v>
      </c>
      <c r="M470">
        <v>61</v>
      </c>
      <c r="N470">
        <v>2891</v>
      </c>
      <c r="O470">
        <v>2286749</v>
      </c>
      <c r="P470">
        <v>79</v>
      </c>
      <c r="Q470" t="s">
        <v>22</v>
      </c>
      <c r="R470">
        <v>80</v>
      </c>
      <c r="S470" t="s">
        <v>137</v>
      </c>
    </row>
    <row r="471" spans="1:19">
      <c r="A471" t="s">
        <v>960</v>
      </c>
      <c r="B471" t="s">
        <v>961</v>
      </c>
      <c r="C471" t="s">
        <v>110</v>
      </c>
      <c r="D471">
        <v>11</v>
      </c>
      <c r="E471">
        <v>103</v>
      </c>
      <c r="F471">
        <v>2977153</v>
      </c>
      <c r="G471">
        <v>16.98</v>
      </c>
      <c r="H471">
        <v>0.25</v>
      </c>
      <c r="I471">
        <v>198928</v>
      </c>
      <c r="J471">
        <v>375863</v>
      </c>
      <c r="K471">
        <v>1995</v>
      </c>
      <c r="L471">
        <v>94</v>
      </c>
      <c r="M471">
        <v>92</v>
      </c>
      <c r="N471">
        <v>4125</v>
      </c>
      <c r="O471">
        <v>1936149</v>
      </c>
      <c r="P471">
        <v>74</v>
      </c>
      <c r="Q471" t="s">
        <v>27</v>
      </c>
      <c r="R471">
        <v>72</v>
      </c>
      <c r="S471" t="s">
        <v>28</v>
      </c>
    </row>
    <row r="472" spans="1:19">
      <c r="A472" t="s">
        <v>962</v>
      </c>
      <c r="B472" t="s">
        <v>963</v>
      </c>
      <c r="C472" t="s">
        <v>44</v>
      </c>
      <c r="D472">
        <v>5</v>
      </c>
      <c r="E472">
        <v>17</v>
      </c>
      <c r="F472">
        <v>1070626</v>
      </c>
      <c r="G472">
        <v>19.36</v>
      </c>
      <c r="H472">
        <v>1.06</v>
      </c>
      <c r="I472">
        <v>65169</v>
      </c>
      <c r="J472">
        <v>433062</v>
      </c>
      <c r="K472">
        <v>905</v>
      </c>
      <c r="L472">
        <v>46</v>
      </c>
      <c r="M472">
        <v>78</v>
      </c>
      <c r="N472">
        <v>6622</v>
      </c>
      <c r="O472">
        <v>752098</v>
      </c>
      <c r="P472">
        <v>71</v>
      </c>
      <c r="Q472" t="s">
        <v>27</v>
      </c>
      <c r="R472">
        <v>58</v>
      </c>
      <c r="S472" t="s">
        <v>23</v>
      </c>
    </row>
    <row r="473" spans="1:19">
      <c r="A473" t="s">
        <v>964</v>
      </c>
      <c r="B473" t="s">
        <v>965</v>
      </c>
      <c r="C473" t="s">
        <v>38</v>
      </c>
      <c r="D473">
        <v>8</v>
      </c>
      <c r="E473">
        <v>91</v>
      </c>
      <c r="F473">
        <v>2877131</v>
      </c>
      <c r="G473">
        <v>17.09</v>
      </c>
      <c r="H473">
        <v>0.76</v>
      </c>
      <c r="I473">
        <v>617969</v>
      </c>
      <c r="J473">
        <v>257418</v>
      </c>
      <c r="K473">
        <v>740</v>
      </c>
      <c r="L473">
        <v>86</v>
      </c>
      <c r="M473">
        <v>81</v>
      </c>
      <c r="N473">
        <v>6143</v>
      </c>
      <c r="O473">
        <v>1845571</v>
      </c>
      <c r="P473">
        <v>62</v>
      </c>
      <c r="Q473" t="s">
        <v>27</v>
      </c>
      <c r="R473">
        <v>59</v>
      </c>
      <c r="S473" t="s">
        <v>23</v>
      </c>
    </row>
    <row r="474" spans="1:19">
      <c r="A474" t="s">
        <v>966</v>
      </c>
      <c r="B474" t="s">
        <v>967</v>
      </c>
      <c r="C474" t="s">
        <v>75</v>
      </c>
      <c r="D474">
        <v>7</v>
      </c>
      <c r="E474">
        <v>193</v>
      </c>
      <c r="F474">
        <v>4058012</v>
      </c>
      <c r="G474">
        <v>17.05</v>
      </c>
      <c r="H474">
        <v>0.64</v>
      </c>
      <c r="I474">
        <v>163195</v>
      </c>
      <c r="J474">
        <v>732126</v>
      </c>
      <c r="K474">
        <v>815</v>
      </c>
      <c r="L474">
        <v>55</v>
      </c>
      <c r="M474">
        <v>93</v>
      </c>
      <c r="N474">
        <v>4460</v>
      </c>
      <c r="O474">
        <v>2674683</v>
      </c>
      <c r="P474">
        <v>83</v>
      </c>
      <c r="Q474" t="s">
        <v>27</v>
      </c>
      <c r="R474">
        <v>67</v>
      </c>
      <c r="S474" t="s">
        <v>28</v>
      </c>
    </row>
    <row r="475" spans="1:19">
      <c r="A475" t="s">
        <v>968</v>
      </c>
      <c r="B475" t="s">
        <v>969</v>
      </c>
      <c r="C475" t="s">
        <v>110</v>
      </c>
      <c r="D475">
        <v>14</v>
      </c>
      <c r="E475">
        <v>166</v>
      </c>
      <c r="F475">
        <v>4759892</v>
      </c>
      <c r="G475">
        <v>7.93</v>
      </c>
      <c r="H475">
        <v>1.05</v>
      </c>
      <c r="I475">
        <v>423448</v>
      </c>
      <c r="J475">
        <v>644415</v>
      </c>
      <c r="K475">
        <v>745</v>
      </c>
      <c r="L475">
        <v>71</v>
      </c>
      <c r="M475">
        <v>95</v>
      </c>
      <c r="N475">
        <v>4680</v>
      </c>
      <c r="O475">
        <v>4296851</v>
      </c>
      <c r="P475">
        <v>99</v>
      </c>
      <c r="Q475" t="s">
        <v>22</v>
      </c>
      <c r="R475">
        <v>56</v>
      </c>
      <c r="S475" t="s">
        <v>23</v>
      </c>
    </row>
    <row r="476" spans="1:19">
      <c r="A476" t="s">
        <v>970</v>
      </c>
      <c r="B476" t="s">
        <v>740</v>
      </c>
      <c r="C476" t="s">
        <v>41</v>
      </c>
      <c r="D476">
        <v>18</v>
      </c>
      <c r="E476">
        <v>46</v>
      </c>
      <c r="F476">
        <v>1111329</v>
      </c>
      <c r="G476">
        <v>5.4</v>
      </c>
      <c r="H476">
        <v>0.54</v>
      </c>
      <c r="I476">
        <v>767373</v>
      </c>
      <c r="J476">
        <v>415152</v>
      </c>
      <c r="K476">
        <v>653</v>
      </c>
      <c r="L476">
        <v>82</v>
      </c>
      <c r="M476">
        <v>96</v>
      </c>
      <c r="N476">
        <v>2538</v>
      </c>
      <c r="O476">
        <v>650442</v>
      </c>
      <c r="P476">
        <v>64</v>
      </c>
      <c r="Q476" t="s">
        <v>27</v>
      </c>
      <c r="R476">
        <v>53</v>
      </c>
      <c r="S476" t="s">
        <v>23</v>
      </c>
    </row>
    <row r="477" spans="1:19">
      <c r="A477" t="s">
        <v>971</v>
      </c>
      <c r="B477" t="s">
        <v>972</v>
      </c>
      <c r="C477" t="s">
        <v>75</v>
      </c>
      <c r="D477">
        <v>19</v>
      </c>
      <c r="E477">
        <v>191</v>
      </c>
      <c r="F477">
        <v>3021275</v>
      </c>
      <c r="G477">
        <v>2.79</v>
      </c>
      <c r="H477">
        <v>1.05</v>
      </c>
      <c r="I477">
        <v>864812</v>
      </c>
      <c r="J477">
        <v>356041</v>
      </c>
      <c r="K477">
        <v>224</v>
      </c>
      <c r="L477">
        <v>51</v>
      </c>
      <c r="M477">
        <v>72</v>
      </c>
      <c r="N477">
        <v>1630</v>
      </c>
      <c r="O477">
        <v>2771519</v>
      </c>
      <c r="P477">
        <v>80</v>
      </c>
      <c r="Q477" t="s">
        <v>27</v>
      </c>
      <c r="R477">
        <v>46</v>
      </c>
      <c r="S477" t="s">
        <v>23</v>
      </c>
    </row>
    <row r="478" spans="1:19">
      <c r="A478" t="s">
        <v>973</v>
      </c>
      <c r="B478" t="s">
        <v>974</v>
      </c>
      <c r="C478" t="s">
        <v>31</v>
      </c>
      <c r="D478">
        <v>19</v>
      </c>
      <c r="E478">
        <v>194</v>
      </c>
      <c r="F478">
        <v>2693985</v>
      </c>
      <c r="G478">
        <v>3.63</v>
      </c>
      <c r="H478">
        <v>0.56000000000000005</v>
      </c>
      <c r="I478">
        <v>400388</v>
      </c>
      <c r="J478">
        <v>213352</v>
      </c>
      <c r="K478">
        <v>1103</v>
      </c>
      <c r="L478">
        <v>93</v>
      </c>
      <c r="M478">
        <v>69</v>
      </c>
      <c r="N478">
        <v>5121</v>
      </c>
      <c r="O478">
        <v>1727469</v>
      </c>
      <c r="P478">
        <v>98</v>
      </c>
      <c r="Q478" t="s">
        <v>22</v>
      </c>
      <c r="R478">
        <v>61</v>
      </c>
      <c r="S478" t="s">
        <v>28</v>
      </c>
    </row>
    <row r="479" spans="1:19">
      <c r="A479" t="s">
        <v>975</v>
      </c>
      <c r="B479" t="s">
        <v>976</v>
      </c>
      <c r="C479" t="s">
        <v>55</v>
      </c>
      <c r="D479">
        <v>17</v>
      </c>
      <c r="E479">
        <v>237</v>
      </c>
      <c r="F479">
        <v>3949387</v>
      </c>
      <c r="G479">
        <v>13</v>
      </c>
      <c r="H479">
        <v>0.7</v>
      </c>
      <c r="I479">
        <v>528391</v>
      </c>
      <c r="J479">
        <v>630888</v>
      </c>
      <c r="K479">
        <v>128</v>
      </c>
      <c r="L479">
        <v>91</v>
      </c>
      <c r="M479">
        <v>63</v>
      </c>
      <c r="N479">
        <v>5975</v>
      </c>
      <c r="O479">
        <v>3257571</v>
      </c>
      <c r="P479">
        <v>91</v>
      </c>
      <c r="Q479" t="s">
        <v>27</v>
      </c>
      <c r="R479">
        <v>65</v>
      </c>
      <c r="S479" t="s">
        <v>28</v>
      </c>
    </row>
    <row r="480" spans="1:19">
      <c r="A480" t="s">
        <v>977</v>
      </c>
      <c r="B480" t="s">
        <v>978</v>
      </c>
      <c r="C480" t="s">
        <v>110</v>
      </c>
      <c r="D480">
        <v>16</v>
      </c>
      <c r="E480">
        <v>186</v>
      </c>
      <c r="F480">
        <v>1576772</v>
      </c>
      <c r="G480">
        <v>15.37</v>
      </c>
      <c r="H480">
        <v>0.7</v>
      </c>
      <c r="I480">
        <v>-83904</v>
      </c>
      <c r="J480">
        <v>150362</v>
      </c>
      <c r="K480">
        <v>425</v>
      </c>
      <c r="L480">
        <v>67</v>
      </c>
      <c r="M480">
        <v>65</v>
      </c>
      <c r="N480">
        <v>2829</v>
      </c>
      <c r="O480">
        <v>1061704</v>
      </c>
      <c r="P480">
        <v>61</v>
      </c>
      <c r="Q480" t="s">
        <v>27</v>
      </c>
      <c r="R480">
        <v>58</v>
      </c>
      <c r="S480" t="s">
        <v>23</v>
      </c>
    </row>
    <row r="481" spans="1:19">
      <c r="A481" t="s">
        <v>979</v>
      </c>
      <c r="B481" t="s">
        <v>980</v>
      </c>
      <c r="C481" t="s">
        <v>64</v>
      </c>
      <c r="D481">
        <v>12</v>
      </c>
      <c r="E481">
        <v>60</v>
      </c>
      <c r="F481">
        <v>3466922</v>
      </c>
      <c r="G481">
        <v>17.34</v>
      </c>
      <c r="H481">
        <v>0.22</v>
      </c>
      <c r="I481">
        <v>362153</v>
      </c>
      <c r="J481">
        <v>616341</v>
      </c>
      <c r="K481">
        <v>1114</v>
      </c>
      <c r="L481">
        <v>62</v>
      </c>
      <c r="M481">
        <v>89</v>
      </c>
      <c r="N481">
        <v>786</v>
      </c>
      <c r="O481">
        <v>1906418</v>
      </c>
      <c r="P481">
        <v>78</v>
      </c>
      <c r="Q481" t="s">
        <v>27</v>
      </c>
      <c r="R481">
        <v>75</v>
      </c>
      <c r="S481" t="s">
        <v>28</v>
      </c>
    </row>
    <row r="482" spans="1:19">
      <c r="A482" t="s">
        <v>981</v>
      </c>
      <c r="B482" t="s">
        <v>982</v>
      </c>
      <c r="C482" t="s">
        <v>21</v>
      </c>
      <c r="D482">
        <v>16</v>
      </c>
      <c r="E482">
        <v>220</v>
      </c>
      <c r="F482">
        <v>1465877</v>
      </c>
      <c r="G482">
        <v>21.27</v>
      </c>
      <c r="H482">
        <v>0.17</v>
      </c>
      <c r="I482">
        <v>338657</v>
      </c>
      <c r="J482">
        <v>660250</v>
      </c>
      <c r="K482">
        <v>1431</v>
      </c>
      <c r="L482">
        <v>69</v>
      </c>
      <c r="M482">
        <v>86</v>
      </c>
      <c r="N482">
        <v>4263</v>
      </c>
      <c r="O482">
        <v>1228898</v>
      </c>
      <c r="P482">
        <v>81</v>
      </c>
      <c r="Q482" t="s">
        <v>22</v>
      </c>
      <c r="R482">
        <v>80</v>
      </c>
      <c r="S482" t="s">
        <v>137</v>
      </c>
    </row>
    <row r="483" spans="1:19">
      <c r="A483" t="s">
        <v>983</v>
      </c>
      <c r="B483" t="s">
        <v>984</v>
      </c>
      <c r="C483" t="s">
        <v>31</v>
      </c>
      <c r="D483">
        <v>4</v>
      </c>
      <c r="E483">
        <v>79</v>
      </c>
      <c r="F483">
        <v>1400533</v>
      </c>
      <c r="G483">
        <v>10.52</v>
      </c>
      <c r="H483">
        <v>0.51</v>
      </c>
      <c r="I483">
        <v>698801</v>
      </c>
      <c r="J483">
        <v>871145</v>
      </c>
      <c r="K483">
        <v>366</v>
      </c>
      <c r="L483">
        <v>68</v>
      </c>
      <c r="M483">
        <v>88</v>
      </c>
      <c r="N483">
        <v>545</v>
      </c>
      <c r="O483">
        <v>881764</v>
      </c>
      <c r="P483">
        <v>65</v>
      </c>
      <c r="Q483" t="s">
        <v>22</v>
      </c>
      <c r="R483">
        <v>59</v>
      </c>
      <c r="S483" t="s">
        <v>23</v>
      </c>
    </row>
    <row r="484" spans="1:19">
      <c r="A484" t="s">
        <v>985</v>
      </c>
      <c r="B484" t="s">
        <v>986</v>
      </c>
      <c r="C484" t="s">
        <v>31</v>
      </c>
      <c r="D484">
        <v>15</v>
      </c>
      <c r="E484">
        <v>115</v>
      </c>
      <c r="F484">
        <v>2370202</v>
      </c>
      <c r="G484">
        <v>16.579999999999998</v>
      </c>
      <c r="H484">
        <v>0.18</v>
      </c>
      <c r="I484">
        <v>734613</v>
      </c>
      <c r="J484">
        <v>966831</v>
      </c>
      <c r="K484">
        <v>904</v>
      </c>
      <c r="L484">
        <v>81</v>
      </c>
      <c r="M484">
        <v>78</v>
      </c>
      <c r="N484">
        <v>2273</v>
      </c>
      <c r="O484">
        <v>1790360</v>
      </c>
      <c r="P484">
        <v>84</v>
      </c>
      <c r="Q484" t="s">
        <v>22</v>
      </c>
      <c r="R484">
        <v>77</v>
      </c>
      <c r="S484" t="s">
        <v>28</v>
      </c>
    </row>
    <row r="485" spans="1:19">
      <c r="A485" t="s">
        <v>987</v>
      </c>
      <c r="B485" t="s">
        <v>988</v>
      </c>
      <c r="C485" t="s">
        <v>41</v>
      </c>
      <c r="D485">
        <v>5</v>
      </c>
      <c r="E485">
        <v>183</v>
      </c>
      <c r="F485">
        <v>2051681</v>
      </c>
      <c r="G485">
        <v>17.18</v>
      </c>
      <c r="H485">
        <v>0.42</v>
      </c>
      <c r="I485">
        <v>-18718</v>
      </c>
      <c r="J485">
        <v>830177</v>
      </c>
      <c r="K485">
        <v>1916</v>
      </c>
      <c r="L485">
        <v>74</v>
      </c>
      <c r="M485">
        <v>98</v>
      </c>
      <c r="N485">
        <v>2950</v>
      </c>
      <c r="O485">
        <v>1816401</v>
      </c>
      <c r="P485">
        <v>85</v>
      </c>
      <c r="Q485" t="s">
        <v>22</v>
      </c>
      <c r="R485">
        <v>73</v>
      </c>
      <c r="S485" t="s">
        <v>28</v>
      </c>
    </row>
    <row r="486" spans="1:19">
      <c r="A486" t="s">
        <v>989</v>
      </c>
      <c r="B486" t="s">
        <v>990</v>
      </c>
      <c r="C486" t="s">
        <v>110</v>
      </c>
      <c r="D486">
        <v>6</v>
      </c>
      <c r="E486">
        <v>162</v>
      </c>
      <c r="F486">
        <v>2027954</v>
      </c>
      <c r="G486">
        <v>3.59</v>
      </c>
      <c r="H486">
        <v>0.63</v>
      </c>
      <c r="I486">
        <v>155431</v>
      </c>
      <c r="J486">
        <v>692918</v>
      </c>
      <c r="K486">
        <v>1542</v>
      </c>
      <c r="L486">
        <v>65</v>
      </c>
      <c r="M486">
        <v>76</v>
      </c>
      <c r="N486">
        <v>5532</v>
      </c>
      <c r="O486">
        <v>1028716</v>
      </c>
      <c r="P486">
        <v>89</v>
      </c>
      <c r="Q486" t="s">
        <v>22</v>
      </c>
      <c r="R486">
        <v>57</v>
      </c>
      <c r="S486" t="s">
        <v>23</v>
      </c>
    </row>
    <row r="487" spans="1:19">
      <c r="A487" t="s">
        <v>991</v>
      </c>
      <c r="B487" t="s">
        <v>992</v>
      </c>
      <c r="C487" t="s">
        <v>31</v>
      </c>
      <c r="D487">
        <v>7</v>
      </c>
      <c r="E487">
        <v>247</v>
      </c>
      <c r="F487">
        <v>2746446</v>
      </c>
      <c r="G487">
        <v>22.55</v>
      </c>
      <c r="H487">
        <v>0.14000000000000001</v>
      </c>
      <c r="I487">
        <v>127477</v>
      </c>
      <c r="J487">
        <v>116509</v>
      </c>
      <c r="K487">
        <v>647</v>
      </c>
      <c r="L487">
        <v>45</v>
      </c>
      <c r="M487">
        <v>80</v>
      </c>
      <c r="N487">
        <v>933</v>
      </c>
      <c r="O487">
        <v>1901582</v>
      </c>
      <c r="P487">
        <v>87</v>
      </c>
      <c r="Q487" t="s">
        <v>22</v>
      </c>
      <c r="R487">
        <v>84</v>
      </c>
      <c r="S487" t="s">
        <v>137</v>
      </c>
    </row>
    <row r="488" spans="1:19">
      <c r="A488" t="s">
        <v>993</v>
      </c>
      <c r="B488" t="s">
        <v>994</v>
      </c>
      <c r="C488" t="s">
        <v>55</v>
      </c>
      <c r="D488">
        <v>11</v>
      </c>
      <c r="E488">
        <v>89</v>
      </c>
      <c r="F488">
        <v>1694050</v>
      </c>
      <c r="G488">
        <v>7.93</v>
      </c>
      <c r="H488">
        <v>0.49</v>
      </c>
      <c r="I488">
        <v>717834</v>
      </c>
      <c r="J488">
        <v>157735</v>
      </c>
      <c r="K488">
        <v>556</v>
      </c>
      <c r="L488">
        <v>60</v>
      </c>
      <c r="M488">
        <v>78</v>
      </c>
      <c r="N488">
        <v>4474</v>
      </c>
      <c r="O488">
        <v>1349318</v>
      </c>
      <c r="P488">
        <v>61</v>
      </c>
      <c r="Q488" t="s">
        <v>22</v>
      </c>
      <c r="R488">
        <v>56</v>
      </c>
      <c r="S488" t="s">
        <v>23</v>
      </c>
    </row>
    <row r="489" spans="1:19">
      <c r="A489" t="s">
        <v>995</v>
      </c>
      <c r="B489" t="s">
        <v>996</v>
      </c>
      <c r="C489" t="s">
        <v>41</v>
      </c>
      <c r="D489">
        <v>18</v>
      </c>
      <c r="E489">
        <v>15</v>
      </c>
      <c r="F489">
        <v>3592505</v>
      </c>
      <c r="G489">
        <v>10.65</v>
      </c>
      <c r="H489">
        <v>0.87</v>
      </c>
      <c r="I489">
        <v>754019</v>
      </c>
      <c r="J489">
        <v>147740</v>
      </c>
      <c r="K489">
        <v>521</v>
      </c>
      <c r="L489">
        <v>92</v>
      </c>
      <c r="M489">
        <v>61</v>
      </c>
      <c r="N489">
        <v>4627</v>
      </c>
      <c r="O489">
        <v>2310916</v>
      </c>
      <c r="P489">
        <v>97</v>
      </c>
      <c r="Q489" t="s">
        <v>22</v>
      </c>
      <c r="R489">
        <v>61</v>
      </c>
      <c r="S489" t="s">
        <v>28</v>
      </c>
    </row>
    <row r="490" spans="1:19">
      <c r="A490" t="s">
        <v>997</v>
      </c>
      <c r="B490" t="s">
        <v>998</v>
      </c>
      <c r="C490" t="s">
        <v>44</v>
      </c>
      <c r="D490">
        <v>19</v>
      </c>
      <c r="E490">
        <v>119</v>
      </c>
      <c r="F490">
        <v>2595437</v>
      </c>
      <c r="G490">
        <v>10.81</v>
      </c>
      <c r="H490">
        <v>1.1599999999999999</v>
      </c>
      <c r="I490">
        <v>849727</v>
      </c>
      <c r="J490">
        <v>310481</v>
      </c>
      <c r="K490">
        <v>1486</v>
      </c>
      <c r="L490">
        <v>88</v>
      </c>
      <c r="M490">
        <v>88</v>
      </c>
      <c r="N490">
        <v>5013</v>
      </c>
      <c r="O490">
        <v>1444724</v>
      </c>
      <c r="P490">
        <v>60</v>
      </c>
      <c r="Q490" t="s">
        <v>22</v>
      </c>
      <c r="R490">
        <v>45</v>
      </c>
      <c r="S490" t="s">
        <v>23</v>
      </c>
    </row>
    <row r="491" spans="1:19">
      <c r="A491" t="s">
        <v>999</v>
      </c>
      <c r="B491" t="s">
        <v>1000</v>
      </c>
      <c r="C491" t="s">
        <v>44</v>
      </c>
      <c r="D491">
        <v>11</v>
      </c>
      <c r="E491">
        <v>219</v>
      </c>
      <c r="F491">
        <v>4658469</v>
      </c>
      <c r="G491">
        <v>12.19</v>
      </c>
      <c r="H491">
        <v>0.72</v>
      </c>
      <c r="I491">
        <v>473934</v>
      </c>
      <c r="J491">
        <v>526715</v>
      </c>
      <c r="K491">
        <v>1100</v>
      </c>
      <c r="L491">
        <v>95</v>
      </c>
      <c r="M491">
        <v>83</v>
      </c>
      <c r="N491">
        <v>760</v>
      </c>
      <c r="O491">
        <v>4350662</v>
      </c>
      <c r="P491">
        <v>86</v>
      </c>
      <c r="Q491" t="s">
        <v>22</v>
      </c>
      <c r="R491">
        <v>62</v>
      </c>
      <c r="S491" t="s">
        <v>28</v>
      </c>
    </row>
    <row r="492" spans="1:19">
      <c r="A492" t="s">
        <v>1001</v>
      </c>
      <c r="B492" t="s">
        <v>1002</v>
      </c>
      <c r="C492" t="s">
        <v>55</v>
      </c>
      <c r="D492">
        <v>16</v>
      </c>
      <c r="E492">
        <v>201</v>
      </c>
      <c r="F492">
        <v>3594621</v>
      </c>
      <c r="G492">
        <v>13.76</v>
      </c>
      <c r="H492">
        <v>0.2</v>
      </c>
      <c r="I492">
        <v>956077</v>
      </c>
      <c r="J492">
        <v>713368</v>
      </c>
      <c r="K492">
        <v>1626</v>
      </c>
      <c r="L492">
        <v>55</v>
      </c>
      <c r="M492">
        <v>91</v>
      </c>
      <c r="N492">
        <v>5165</v>
      </c>
      <c r="O492">
        <v>2651245</v>
      </c>
      <c r="P492">
        <v>84</v>
      </c>
      <c r="Q492" t="s">
        <v>27</v>
      </c>
      <c r="R492">
        <v>74</v>
      </c>
      <c r="S492" t="s">
        <v>28</v>
      </c>
    </row>
    <row r="493" spans="1:19">
      <c r="A493" t="s">
        <v>1003</v>
      </c>
      <c r="B493" t="s">
        <v>843</v>
      </c>
      <c r="C493" t="s">
        <v>44</v>
      </c>
      <c r="D493">
        <v>20</v>
      </c>
      <c r="E493">
        <v>237</v>
      </c>
      <c r="F493">
        <v>1435555</v>
      </c>
      <c r="G493">
        <v>14.53</v>
      </c>
      <c r="H493">
        <v>1.04</v>
      </c>
      <c r="I493">
        <v>309796</v>
      </c>
      <c r="J493">
        <v>384440</v>
      </c>
      <c r="K493">
        <v>664</v>
      </c>
      <c r="L493">
        <v>70</v>
      </c>
      <c r="M493">
        <v>72</v>
      </c>
      <c r="N493">
        <v>2805</v>
      </c>
      <c r="O493">
        <v>834213</v>
      </c>
      <c r="P493">
        <v>89</v>
      </c>
      <c r="Q493" t="s">
        <v>27</v>
      </c>
      <c r="R493">
        <v>59</v>
      </c>
      <c r="S493" t="s">
        <v>23</v>
      </c>
    </row>
    <row r="494" spans="1:19">
      <c r="A494" t="s">
        <v>1004</v>
      </c>
      <c r="B494" t="s">
        <v>1005</v>
      </c>
      <c r="C494" t="s">
        <v>110</v>
      </c>
      <c r="D494">
        <v>8</v>
      </c>
      <c r="E494">
        <v>27</v>
      </c>
      <c r="F494">
        <v>3229630</v>
      </c>
      <c r="G494">
        <v>5.08</v>
      </c>
      <c r="H494">
        <v>0.12</v>
      </c>
      <c r="I494">
        <v>469619</v>
      </c>
      <c r="J494">
        <v>540026</v>
      </c>
      <c r="K494">
        <v>1241</v>
      </c>
      <c r="L494">
        <v>61</v>
      </c>
      <c r="M494">
        <v>64</v>
      </c>
      <c r="N494">
        <v>1935</v>
      </c>
      <c r="O494">
        <v>1842288</v>
      </c>
      <c r="P494">
        <v>84</v>
      </c>
      <c r="Q494" t="s">
        <v>22</v>
      </c>
      <c r="R494">
        <v>67</v>
      </c>
      <c r="S494" t="s">
        <v>28</v>
      </c>
    </row>
    <row r="495" spans="1:19">
      <c r="A495" t="s">
        <v>1006</v>
      </c>
      <c r="B495" t="s">
        <v>1007</v>
      </c>
      <c r="C495" t="s">
        <v>31</v>
      </c>
      <c r="D495">
        <v>11</v>
      </c>
      <c r="E495">
        <v>138</v>
      </c>
      <c r="F495">
        <v>2637472</v>
      </c>
      <c r="G495">
        <v>4.0999999999999996</v>
      </c>
      <c r="H495">
        <v>0.22</v>
      </c>
      <c r="I495">
        <v>424672</v>
      </c>
      <c r="J495">
        <v>857423</v>
      </c>
      <c r="K495">
        <v>900</v>
      </c>
      <c r="L495">
        <v>52</v>
      </c>
      <c r="M495">
        <v>63</v>
      </c>
      <c r="N495">
        <v>4214</v>
      </c>
      <c r="O495">
        <v>2090695</v>
      </c>
      <c r="P495">
        <v>69</v>
      </c>
      <c r="Q495" t="s">
        <v>22</v>
      </c>
      <c r="R495">
        <v>60</v>
      </c>
      <c r="S495" t="s">
        <v>28</v>
      </c>
    </row>
    <row r="496" spans="1:19">
      <c r="A496" t="s">
        <v>1008</v>
      </c>
      <c r="B496" t="s">
        <v>1009</v>
      </c>
      <c r="C496" t="s">
        <v>38</v>
      </c>
      <c r="D496">
        <v>14</v>
      </c>
      <c r="E496">
        <v>218</v>
      </c>
      <c r="F496">
        <v>4268948</v>
      </c>
      <c r="G496">
        <v>12.8</v>
      </c>
      <c r="H496">
        <v>0.59</v>
      </c>
      <c r="I496">
        <v>963416</v>
      </c>
      <c r="J496">
        <v>204657</v>
      </c>
      <c r="K496">
        <v>1176</v>
      </c>
      <c r="L496">
        <v>70</v>
      </c>
      <c r="M496">
        <v>70</v>
      </c>
      <c r="N496">
        <v>4307</v>
      </c>
      <c r="O496">
        <v>2899525</v>
      </c>
      <c r="P496">
        <v>82</v>
      </c>
      <c r="Q496" t="s">
        <v>27</v>
      </c>
      <c r="R496">
        <v>64</v>
      </c>
      <c r="S496" t="s">
        <v>28</v>
      </c>
    </row>
    <row r="497" spans="1:19">
      <c r="A497" t="s">
        <v>1010</v>
      </c>
      <c r="B497" t="s">
        <v>1011</v>
      </c>
      <c r="C497" t="s">
        <v>75</v>
      </c>
      <c r="D497">
        <v>19</v>
      </c>
      <c r="E497">
        <v>229</v>
      </c>
      <c r="F497">
        <v>3778835</v>
      </c>
      <c r="G497">
        <v>2.13</v>
      </c>
      <c r="H497">
        <v>1.2</v>
      </c>
      <c r="I497">
        <v>885347</v>
      </c>
      <c r="J497">
        <v>909664</v>
      </c>
      <c r="K497">
        <v>268</v>
      </c>
      <c r="L497">
        <v>49</v>
      </c>
      <c r="M497">
        <v>78</v>
      </c>
      <c r="N497">
        <v>5054</v>
      </c>
      <c r="O497">
        <v>2209048</v>
      </c>
      <c r="P497">
        <v>76</v>
      </c>
      <c r="Q497" t="s">
        <v>22</v>
      </c>
      <c r="R497">
        <v>41</v>
      </c>
      <c r="S497" t="s">
        <v>23</v>
      </c>
    </row>
    <row r="498" spans="1:19">
      <c r="A498" t="s">
        <v>1012</v>
      </c>
      <c r="B498" t="s">
        <v>1013</v>
      </c>
      <c r="C498" t="s">
        <v>64</v>
      </c>
      <c r="D498">
        <v>20</v>
      </c>
      <c r="E498">
        <v>51</v>
      </c>
      <c r="F498">
        <v>1338932</v>
      </c>
      <c r="G498">
        <v>13.51</v>
      </c>
      <c r="H498">
        <v>1.02</v>
      </c>
      <c r="I498">
        <v>-96678</v>
      </c>
      <c r="J498">
        <v>951327</v>
      </c>
      <c r="K498">
        <v>1693</v>
      </c>
      <c r="L498">
        <v>80</v>
      </c>
      <c r="M498">
        <v>89</v>
      </c>
      <c r="N498">
        <v>7996</v>
      </c>
      <c r="O498">
        <v>911998</v>
      </c>
      <c r="P498">
        <v>87</v>
      </c>
      <c r="Q498" t="s">
        <v>27</v>
      </c>
      <c r="R498">
        <v>58</v>
      </c>
      <c r="S498" t="s">
        <v>23</v>
      </c>
    </row>
    <row r="499" spans="1:19">
      <c r="A499" t="s">
        <v>1014</v>
      </c>
      <c r="B499" t="s">
        <v>1015</v>
      </c>
      <c r="C499" t="s">
        <v>110</v>
      </c>
      <c r="D499">
        <v>10</v>
      </c>
      <c r="E499">
        <v>24</v>
      </c>
      <c r="F499">
        <v>4355121</v>
      </c>
      <c r="G499">
        <v>4.8600000000000003</v>
      </c>
      <c r="H499">
        <v>0.19</v>
      </c>
      <c r="I499">
        <v>640341</v>
      </c>
      <c r="J499">
        <v>182201</v>
      </c>
      <c r="K499">
        <v>999</v>
      </c>
      <c r="L499">
        <v>60</v>
      </c>
      <c r="M499">
        <v>73</v>
      </c>
      <c r="N499">
        <v>4800</v>
      </c>
      <c r="O499">
        <v>2525244</v>
      </c>
      <c r="P499">
        <v>95</v>
      </c>
      <c r="Q499" t="s">
        <v>22</v>
      </c>
      <c r="R499">
        <v>69</v>
      </c>
      <c r="S499" t="s">
        <v>28</v>
      </c>
    </row>
    <row r="500" spans="1:19">
      <c r="A500" t="s">
        <v>1016</v>
      </c>
      <c r="B500" t="s">
        <v>1017</v>
      </c>
      <c r="C500" t="s">
        <v>110</v>
      </c>
      <c r="D500">
        <v>17</v>
      </c>
      <c r="E500">
        <v>155</v>
      </c>
      <c r="F500">
        <v>2096426</v>
      </c>
      <c r="G500">
        <v>10.69</v>
      </c>
      <c r="H500">
        <v>1.03</v>
      </c>
      <c r="I500">
        <v>122272</v>
      </c>
      <c r="J500">
        <v>941183</v>
      </c>
      <c r="K500">
        <v>1245</v>
      </c>
      <c r="L500">
        <v>59</v>
      </c>
      <c r="M500">
        <v>64</v>
      </c>
      <c r="N500">
        <v>3441</v>
      </c>
      <c r="O500">
        <v>1143894</v>
      </c>
      <c r="P500">
        <v>75</v>
      </c>
      <c r="Q500" t="s">
        <v>27</v>
      </c>
      <c r="R500">
        <v>52</v>
      </c>
      <c r="S500" t="s">
        <v>23</v>
      </c>
    </row>
    <row r="501" spans="1:19">
      <c r="A501" t="s">
        <v>1018</v>
      </c>
      <c r="B501" t="s">
        <v>1019</v>
      </c>
      <c r="C501" t="s">
        <v>55</v>
      </c>
      <c r="D501">
        <v>14</v>
      </c>
      <c r="E501">
        <v>133</v>
      </c>
      <c r="F501">
        <v>4189505</v>
      </c>
      <c r="G501">
        <v>18.100000000000001</v>
      </c>
      <c r="H501">
        <v>0.17</v>
      </c>
      <c r="I501">
        <v>590246</v>
      </c>
      <c r="J501">
        <v>455868</v>
      </c>
      <c r="K501">
        <v>1431</v>
      </c>
      <c r="L501">
        <v>79</v>
      </c>
      <c r="M501">
        <v>95</v>
      </c>
      <c r="N501">
        <v>3925</v>
      </c>
      <c r="O501">
        <v>3873924</v>
      </c>
      <c r="P501">
        <v>99</v>
      </c>
      <c r="Q501" t="s">
        <v>27</v>
      </c>
      <c r="R501">
        <v>83</v>
      </c>
      <c r="S501" t="s">
        <v>137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3663-14B3-40DD-8F1D-A843CAC05E12}">
  <dimension ref="A1:E501"/>
  <sheetViews>
    <sheetView workbookViewId="0">
      <selection activeCell="G13" sqref="G13"/>
    </sheetView>
  </sheetViews>
  <sheetFormatPr defaultRowHeight="14.4"/>
  <cols>
    <col min="1" max="1" width="13.77734375" customWidth="1"/>
    <col min="2" max="2" width="30.5546875" bestFit="1" customWidth="1"/>
    <col min="3" max="3" width="21.33203125" customWidth="1"/>
    <col min="4" max="4" width="19.6640625" style="2" customWidth="1"/>
    <col min="5" max="5" width="14.5546875" style="2" customWidth="1"/>
  </cols>
  <sheetData>
    <row r="1" spans="1:5">
      <c r="A1" t="s">
        <v>0</v>
      </c>
      <c r="B1" t="s">
        <v>1</v>
      </c>
      <c r="C1" t="s">
        <v>1020</v>
      </c>
      <c r="D1" s="2" t="s">
        <v>1021</v>
      </c>
      <c r="E1" s="2" t="s">
        <v>1022</v>
      </c>
    </row>
    <row r="2" spans="1:5">
      <c r="A2" t="str">
        <f>Sheet1!A2</f>
        <v>C001</v>
      </c>
      <c r="B2" t="str">
        <f>Sheet1!B2</f>
        <v>Garcia, Chase and Gonzalez</v>
      </c>
      <c r="C2">
        <f>Sheet1!H2</f>
        <v>1.01</v>
      </c>
      <c r="D2" s="2">
        <f>Sheet1!I2/Sheet1!J2</f>
        <v>4.5493827743960074</v>
      </c>
      <c r="E2" s="2">
        <f>Sheet1!G2</f>
        <v>2.87</v>
      </c>
    </row>
    <row r="3" spans="1:5">
      <c r="A3" t="str">
        <f>Sheet1!A3</f>
        <v>C002</v>
      </c>
      <c r="B3" t="str">
        <f>Sheet1!B3</f>
        <v>Williams, Morgan and Sanders</v>
      </c>
      <c r="C3">
        <f>Sheet1!H3</f>
        <v>0.6</v>
      </c>
      <c r="D3" s="2">
        <f>Sheet1!I3/Sheet1!J3</f>
        <v>3.2665110384385607</v>
      </c>
      <c r="E3" s="2">
        <f>Sheet1!G3</f>
        <v>10.38</v>
      </c>
    </row>
    <row r="4" spans="1:5">
      <c r="A4" t="str">
        <f>Sheet1!A4</f>
        <v>C003</v>
      </c>
      <c r="B4" t="str">
        <f>Sheet1!B4</f>
        <v>Mullen LLC</v>
      </c>
      <c r="C4">
        <f>Sheet1!H4</f>
        <v>0.44</v>
      </c>
      <c r="D4" s="2">
        <f>Sheet1!I4/Sheet1!J4</f>
        <v>-3.4921655920468586E-2</v>
      </c>
      <c r="E4" s="2">
        <f>Sheet1!G4</f>
        <v>16.21</v>
      </c>
    </row>
    <row r="5" spans="1:5">
      <c r="A5" t="str">
        <f>Sheet1!A5</f>
        <v>C004</v>
      </c>
      <c r="B5" t="str">
        <f>Sheet1!B5</f>
        <v>Roberts Ltd</v>
      </c>
      <c r="C5">
        <f>Sheet1!H5</f>
        <v>0.5</v>
      </c>
      <c r="D5" s="2">
        <f>Sheet1!I5/Sheet1!J5</f>
        <v>1.7113678750121748</v>
      </c>
      <c r="E5" s="2">
        <f>Sheet1!G5</f>
        <v>11.69</v>
      </c>
    </row>
    <row r="6" spans="1:5">
      <c r="A6" t="str">
        <f>Sheet1!A6</f>
        <v>C005</v>
      </c>
      <c r="B6" t="str">
        <f>Sheet1!B6</f>
        <v>Jackson-Dunn</v>
      </c>
      <c r="C6">
        <f>Sheet1!H6</f>
        <v>0.87</v>
      </c>
      <c r="D6" s="2">
        <f>Sheet1!I6/Sheet1!J6</f>
        <v>1.7158321215464072</v>
      </c>
      <c r="E6" s="2">
        <f>Sheet1!G6</f>
        <v>14.5</v>
      </c>
    </row>
    <row r="7" spans="1:5">
      <c r="A7" t="str">
        <f>Sheet1!A7</f>
        <v>C006</v>
      </c>
      <c r="B7" t="str">
        <f>Sheet1!B7</f>
        <v>Roberts-Sherman</v>
      </c>
      <c r="C7">
        <f>Sheet1!H7</f>
        <v>0.48</v>
      </c>
      <c r="D7" s="2">
        <f>Sheet1!I7/Sheet1!J7</f>
        <v>0.83283593907999365</v>
      </c>
      <c r="E7" s="2">
        <f>Sheet1!G7</f>
        <v>13.54</v>
      </c>
    </row>
    <row r="8" spans="1:5">
      <c r="A8" t="str">
        <f>Sheet1!A8</f>
        <v>C007</v>
      </c>
      <c r="B8" t="str">
        <f>Sheet1!B8</f>
        <v>Kline Inc</v>
      </c>
      <c r="C8">
        <f>Sheet1!H8</f>
        <v>0.6</v>
      </c>
      <c r="D8" s="2">
        <f>Sheet1!I8/Sheet1!J8</f>
        <v>0.42019659498284156</v>
      </c>
      <c r="E8" s="2">
        <f>Sheet1!G8</f>
        <v>10.24</v>
      </c>
    </row>
    <row r="9" spans="1:5">
      <c r="A9" t="str">
        <f>Sheet1!A9</f>
        <v>C008</v>
      </c>
      <c r="B9" t="str">
        <f>Sheet1!B9</f>
        <v>Watson, Moore and Bryant</v>
      </c>
      <c r="C9">
        <f>Sheet1!H9</f>
        <v>1.1499999999999999</v>
      </c>
      <c r="D9" s="2">
        <f>Sheet1!I9/Sheet1!J9</f>
        <v>5.0107515195739756E-2</v>
      </c>
      <c r="E9" s="2">
        <f>Sheet1!G9</f>
        <v>5.68</v>
      </c>
    </row>
    <row r="10" spans="1:5">
      <c r="A10" t="str">
        <f>Sheet1!A10</f>
        <v>C009</v>
      </c>
      <c r="B10" t="str">
        <f>Sheet1!B10</f>
        <v>Clay, Andersen and Gibson</v>
      </c>
      <c r="C10">
        <f>Sheet1!H10</f>
        <v>0.43</v>
      </c>
      <c r="D10" s="2">
        <f>Sheet1!I10/Sheet1!J10</f>
        <v>-1.4402884255748788E-2</v>
      </c>
      <c r="E10" s="2">
        <f>Sheet1!G10</f>
        <v>5.57</v>
      </c>
    </row>
    <row r="11" spans="1:5">
      <c r="A11" t="str">
        <f>Sheet1!A11</f>
        <v>C010</v>
      </c>
      <c r="B11" t="str">
        <f>Sheet1!B11</f>
        <v>Brown-Oliver</v>
      </c>
      <c r="C11">
        <f>Sheet1!H11</f>
        <v>0.78</v>
      </c>
      <c r="D11" s="2">
        <f>Sheet1!I11/Sheet1!J11</f>
        <v>0.30147367726137891</v>
      </c>
      <c r="E11" s="2">
        <f>Sheet1!G11</f>
        <v>14.18</v>
      </c>
    </row>
    <row r="12" spans="1:5">
      <c r="A12" t="str">
        <f>Sheet1!A12</f>
        <v>C011</v>
      </c>
      <c r="B12" t="str">
        <f>Sheet1!B12</f>
        <v>Baker Ltd</v>
      </c>
      <c r="C12">
        <f>Sheet1!H12</f>
        <v>0.9</v>
      </c>
      <c r="D12" s="2">
        <f>Sheet1!I12/Sheet1!J12</f>
        <v>3.3631859627557312</v>
      </c>
      <c r="E12" s="2">
        <f>Sheet1!G12</f>
        <v>24.9</v>
      </c>
    </row>
    <row r="13" spans="1:5">
      <c r="A13" t="str">
        <f>Sheet1!A13</f>
        <v>C012</v>
      </c>
      <c r="B13" t="str">
        <f>Sheet1!B13</f>
        <v>Thomas-Ortega</v>
      </c>
      <c r="C13">
        <f>Sheet1!H13</f>
        <v>0.14000000000000001</v>
      </c>
      <c r="D13" s="2">
        <f>Sheet1!I13/Sheet1!J13</f>
        <v>0.86353388199493453</v>
      </c>
      <c r="E13" s="2">
        <f>Sheet1!G13</f>
        <v>10.79</v>
      </c>
    </row>
    <row r="14" spans="1:5">
      <c r="A14" t="str">
        <f>Sheet1!A14</f>
        <v>C013</v>
      </c>
      <c r="B14" t="str">
        <f>Sheet1!B14</f>
        <v>Watkins, Lucas and Brennan</v>
      </c>
      <c r="C14">
        <f>Sheet1!H14</f>
        <v>0.92</v>
      </c>
      <c r="D14" s="2">
        <f>Sheet1!I14/Sheet1!J14</f>
        <v>2.8707266536260234</v>
      </c>
      <c r="E14" s="2">
        <f>Sheet1!G14</f>
        <v>9.08</v>
      </c>
    </row>
    <row r="15" spans="1:5">
      <c r="A15" t="str">
        <f>Sheet1!A15</f>
        <v>C014</v>
      </c>
      <c r="B15" t="str">
        <f>Sheet1!B15</f>
        <v>Rangel, Melton and Carter</v>
      </c>
      <c r="C15">
        <f>Sheet1!H15</f>
        <v>0.41</v>
      </c>
      <c r="D15" s="2">
        <f>Sheet1!I15/Sheet1!J15</f>
        <v>5.5073853076396357</v>
      </c>
      <c r="E15" s="2">
        <f>Sheet1!G15</f>
        <v>15.44</v>
      </c>
    </row>
    <row r="16" spans="1:5">
      <c r="A16" t="str">
        <f>Sheet1!A16</f>
        <v>C015</v>
      </c>
      <c r="B16" t="str">
        <f>Sheet1!B16</f>
        <v>Howell, Gutierrez and Carter</v>
      </c>
      <c r="C16">
        <f>Sheet1!H16</f>
        <v>0.17</v>
      </c>
      <c r="D16" s="2">
        <f>Sheet1!I16/Sheet1!J16</f>
        <v>0.10040484399615229</v>
      </c>
      <c r="E16" s="2">
        <f>Sheet1!G16</f>
        <v>13.98</v>
      </c>
    </row>
    <row r="17" spans="1:5">
      <c r="A17" t="str">
        <f>Sheet1!A17</f>
        <v>C016</v>
      </c>
      <c r="B17" t="str">
        <f>Sheet1!B17</f>
        <v>Nash Group</v>
      </c>
      <c r="C17">
        <f>Sheet1!H17</f>
        <v>0.73</v>
      </c>
      <c r="D17" s="2">
        <f>Sheet1!I17/Sheet1!J17</f>
        <v>0.87322842993230243</v>
      </c>
      <c r="E17" s="2">
        <f>Sheet1!G17</f>
        <v>13.67</v>
      </c>
    </row>
    <row r="18" spans="1:5">
      <c r="A18" t="str">
        <f>Sheet1!A18</f>
        <v>C017</v>
      </c>
      <c r="B18" t="str">
        <f>Sheet1!B18</f>
        <v>Mckenzie, Morales and Reid</v>
      </c>
      <c r="C18">
        <f>Sheet1!H18</f>
        <v>0.34</v>
      </c>
      <c r="D18" s="2">
        <f>Sheet1!I18/Sheet1!J18</f>
        <v>0.19437185420711695</v>
      </c>
      <c r="E18" s="2">
        <f>Sheet1!G18</f>
        <v>8.85</v>
      </c>
    </row>
    <row r="19" spans="1:5">
      <c r="A19" t="str">
        <f>Sheet1!A19</f>
        <v>C018</v>
      </c>
      <c r="B19" t="str">
        <f>Sheet1!B19</f>
        <v>Webster and Sons</v>
      </c>
      <c r="C19">
        <f>Sheet1!H19</f>
        <v>0.93</v>
      </c>
      <c r="D19" s="2">
        <f>Sheet1!I19/Sheet1!J19</f>
        <v>4.4056131840526671</v>
      </c>
      <c r="E19" s="2">
        <f>Sheet1!G19</f>
        <v>4.6100000000000003</v>
      </c>
    </row>
    <row r="20" spans="1:5">
      <c r="A20" t="str">
        <f>Sheet1!A20</f>
        <v>C019</v>
      </c>
      <c r="B20" t="str">
        <f>Sheet1!B20</f>
        <v>Jenkins Ltd</v>
      </c>
      <c r="C20">
        <f>Sheet1!H20</f>
        <v>1.1599999999999999</v>
      </c>
      <c r="D20" s="2">
        <f>Sheet1!I20/Sheet1!J20</f>
        <v>1.1765713106479339</v>
      </c>
      <c r="E20" s="2">
        <f>Sheet1!G20</f>
        <v>5.72</v>
      </c>
    </row>
    <row r="21" spans="1:5">
      <c r="A21" t="str">
        <f>Sheet1!A21</f>
        <v>C020</v>
      </c>
      <c r="B21" t="str">
        <f>Sheet1!B21</f>
        <v>Robinson, Douglas and Smith</v>
      </c>
      <c r="C21">
        <f>Sheet1!H21</f>
        <v>0.99</v>
      </c>
      <c r="D21" s="2">
        <f>Sheet1!I21/Sheet1!J21</f>
        <v>0.75157773551186413</v>
      </c>
      <c r="E21" s="2">
        <f>Sheet1!G21</f>
        <v>4.5599999999999996</v>
      </c>
    </row>
    <row r="22" spans="1:5">
      <c r="A22" t="str">
        <f>Sheet1!A22</f>
        <v>C021</v>
      </c>
      <c r="B22" t="str">
        <f>Sheet1!B22</f>
        <v>Bonilla-Franco</v>
      </c>
      <c r="C22">
        <f>Sheet1!H22</f>
        <v>0.71</v>
      </c>
      <c r="D22" s="2">
        <f>Sheet1!I22/Sheet1!J22</f>
        <v>-6.3345096257992381E-2</v>
      </c>
      <c r="E22" s="2">
        <f>Sheet1!G22</f>
        <v>6.18</v>
      </c>
    </row>
    <row r="23" spans="1:5">
      <c r="A23" t="str">
        <f>Sheet1!A23</f>
        <v>C022</v>
      </c>
      <c r="B23" t="str">
        <f>Sheet1!B23</f>
        <v>Nicholson LLC</v>
      </c>
      <c r="C23">
        <f>Sheet1!H23</f>
        <v>0.15</v>
      </c>
      <c r="D23" s="2">
        <f>Sheet1!I23/Sheet1!J23</f>
        <v>3.2814779110676655</v>
      </c>
      <c r="E23" s="2">
        <f>Sheet1!G23</f>
        <v>7</v>
      </c>
    </row>
    <row r="24" spans="1:5">
      <c r="A24" t="str">
        <f>Sheet1!A24</f>
        <v>C023</v>
      </c>
      <c r="B24" t="str">
        <f>Sheet1!B24</f>
        <v>Gonzalez LLC</v>
      </c>
      <c r="C24">
        <f>Sheet1!H24</f>
        <v>1.06</v>
      </c>
      <c r="D24" s="2">
        <f>Sheet1!I24/Sheet1!J24</f>
        <v>-7.6785315454673292E-2</v>
      </c>
      <c r="E24" s="2">
        <f>Sheet1!G24</f>
        <v>10.87</v>
      </c>
    </row>
    <row r="25" spans="1:5">
      <c r="A25" t="str">
        <f>Sheet1!A25</f>
        <v>C024</v>
      </c>
      <c r="B25" t="str">
        <f>Sheet1!B25</f>
        <v>Pineda-Little</v>
      </c>
      <c r="C25">
        <f>Sheet1!H25</f>
        <v>0.38</v>
      </c>
      <c r="D25" s="2">
        <f>Sheet1!I25/Sheet1!J25</f>
        <v>0.21093023062608002</v>
      </c>
      <c r="E25" s="2">
        <f>Sheet1!G25</f>
        <v>11.82</v>
      </c>
    </row>
    <row r="26" spans="1:5">
      <c r="A26" t="str">
        <f>Sheet1!A26</f>
        <v>C025</v>
      </c>
      <c r="B26" t="str">
        <f>Sheet1!B26</f>
        <v>Franklin LLC</v>
      </c>
      <c r="C26">
        <f>Sheet1!H26</f>
        <v>1.07</v>
      </c>
      <c r="D26" s="2">
        <f>Sheet1!I26/Sheet1!J26</f>
        <v>1.0177824256799395</v>
      </c>
      <c r="E26" s="2">
        <f>Sheet1!G26</f>
        <v>23.17</v>
      </c>
    </row>
    <row r="27" spans="1:5">
      <c r="A27" t="str">
        <f>Sheet1!A27</f>
        <v>C026</v>
      </c>
      <c r="B27" t="str">
        <f>Sheet1!B27</f>
        <v>Ortiz-Reid</v>
      </c>
      <c r="C27">
        <f>Sheet1!H27</f>
        <v>0.11</v>
      </c>
      <c r="D27" s="2">
        <f>Sheet1!I27/Sheet1!J27</f>
        <v>5.271044027345817</v>
      </c>
      <c r="E27" s="2">
        <f>Sheet1!G27</f>
        <v>24.32</v>
      </c>
    </row>
    <row r="28" spans="1:5">
      <c r="A28" t="str">
        <f>Sheet1!A28</f>
        <v>C027</v>
      </c>
      <c r="B28" t="str">
        <f>Sheet1!B28</f>
        <v>Nunez Group</v>
      </c>
      <c r="C28">
        <f>Sheet1!H28</f>
        <v>0.69</v>
      </c>
      <c r="D28" s="2">
        <f>Sheet1!I28/Sheet1!J28</f>
        <v>1.7963468624280934</v>
      </c>
      <c r="E28" s="2">
        <f>Sheet1!G28</f>
        <v>7.63</v>
      </c>
    </row>
    <row r="29" spans="1:5">
      <c r="A29" t="str">
        <f>Sheet1!A29</f>
        <v>C028</v>
      </c>
      <c r="B29" t="str">
        <f>Sheet1!B29</f>
        <v>Hall, Davenport and Downs</v>
      </c>
      <c r="C29">
        <f>Sheet1!H29</f>
        <v>0.18</v>
      </c>
      <c r="D29" s="2">
        <f>Sheet1!I29/Sheet1!J29</f>
        <v>0.63829628428179574</v>
      </c>
      <c r="E29" s="2">
        <f>Sheet1!G29</f>
        <v>2.83</v>
      </c>
    </row>
    <row r="30" spans="1:5">
      <c r="A30" t="str">
        <f>Sheet1!A30</f>
        <v>C029</v>
      </c>
      <c r="B30" t="str">
        <f>Sheet1!B30</f>
        <v>Mcknight, Johnson and Morris</v>
      </c>
      <c r="C30">
        <f>Sheet1!H30</f>
        <v>1.03</v>
      </c>
      <c r="D30" s="2">
        <f>Sheet1!I30/Sheet1!J30</f>
        <v>-0.69702000851426138</v>
      </c>
      <c r="E30" s="2">
        <f>Sheet1!G30</f>
        <v>18.39</v>
      </c>
    </row>
    <row r="31" spans="1:5">
      <c r="A31" t="str">
        <f>Sheet1!A31</f>
        <v>C030</v>
      </c>
      <c r="B31" t="str">
        <f>Sheet1!B31</f>
        <v>Obrien LLC</v>
      </c>
      <c r="C31">
        <f>Sheet1!H31</f>
        <v>0.76</v>
      </c>
      <c r="D31" s="2">
        <f>Sheet1!I31/Sheet1!J31</f>
        <v>0.12224434095013684</v>
      </c>
      <c r="E31" s="2">
        <f>Sheet1!G31</f>
        <v>5</v>
      </c>
    </row>
    <row r="32" spans="1:5">
      <c r="A32" t="str">
        <f>Sheet1!A32</f>
        <v>C031</v>
      </c>
      <c r="B32" t="str">
        <f>Sheet1!B32</f>
        <v>Petty-Andrews</v>
      </c>
      <c r="C32">
        <f>Sheet1!H32</f>
        <v>1.1000000000000001</v>
      </c>
      <c r="D32" s="2">
        <f>Sheet1!I32/Sheet1!J32</f>
        <v>2.1708135134814532</v>
      </c>
      <c r="E32" s="2">
        <f>Sheet1!G32</f>
        <v>21.24</v>
      </c>
    </row>
    <row r="33" spans="1:5">
      <c r="A33" t="str">
        <f>Sheet1!A33</f>
        <v>C032</v>
      </c>
      <c r="B33" t="str">
        <f>Sheet1!B33</f>
        <v>Flores-Shepherd</v>
      </c>
      <c r="C33">
        <f>Sheet1!H33</f>
        <v>0.8</v>
      </c>
      <c r="D33" s="2">
        <f>Sheet1!I33/Sheet1!J33</f>
        <v>1.5571837905697035</v>
      </c>
      <c r="E33" s="2">
        <f>Sheet1!G33</f>
        <v>7.52</v>
      </c>
    </row>
    <row r="34" spans="1:5">
      <c r="A34" t="str">
        <f>Sheet1!A34</f>
        <v>C033</v>
      </c>
      <c r="B34" t="str">
        <f>Sheet1!B34</f>
        <v>Baker, Richardson and Singh</v>
      </c>
      <c r="C34">
        <f>Sheet1!H34</f>
        <v>0.41</v>
      </c>
      <c r="D34" s="2">
        <f>Sheet1!I34/Sheet1!J34</f>
        <v>1.1583720947707752</v>
      </c>
      <c r="E34" s="2">
        <f>Sheet1!G34</f>
        <v>10.96</v>
      </c>
    </row>
    <row r="35" spans="1:5">
      <c r="A35" t="str">
        <f>Sheet1!A35</f>
        <v>C034</v>
      </c>
      <c r="B35" t="str">
        <f>Sheet1!B35</f>
        <v>Stanley, Houston and Whitaker</v>
      </c>
      <c r="C35">
        <f>Sheet1!H35</f>
        <v>0.6</v>
      </c>
      <c r="D35" s="2">
        <f>Sheet1!I35/Sheet1!J35</f>
        <v>1.2290460667303345</v>
      </c>
      <c r="E35" s="2">
        <f>Sheet1!G35</f>
        <v>3.73</v>
      </c>
    </row>
    <row r="36" spans="1:5">
      <c r="A36" t="str">
        <f>Sheet1!A36</f>
        <v>C035</v>
      </c>
      <c r="B36" t="str">
        <f>Sheet1!B36</f>
        <v>Miller Group</v>
      </c>
      <c r="C36">
        <f>Sheet1!H36</f>
        <v>0.22</v>
      </c>
      <c r="D36" s="2">
        <f>Sheet1!I36/Sheet1!J36</f>
        <v>-1.1750624547488438E-2</v>
      </c>
      <c r="E36" s="2">
        <f>Sheet1!G36</f>
        <v>23.9</v>
      </c>
    </row>
    <row r="37" spans="1:5">
      <c r="A37" t="str">
        <f>Sheet1!A37</f>
        <v>C036</v>
      </c>
      <c r="B37" t="str">
        <f>Sheet1!B37</f>
        <v>Quinn-Porter</v>
      </c>
      <c r="C37">
        <f>Sheet1!H37</f>
        <v>0.38</v>
      </c>
      <c r="D37" s="2">
        <f>Sheet1!I37/Sheet1!J37</f>
        <v>-8.687485525114777E-2</v>
      </c>
      <c r="E37" s="2">
        <f>Sheet1!G37</f>
        <v>2.34</v>
      </c>
    </row>
    <row r="38" spans="1:5">
      <c r="A38" t="str">
        <f>Sheet1!A38</f>
        <v>C037</v>
      </c>
      <c r="B38" t="str">
        <f>Sheet1!B38</f>
        <v>Rodriguez Inc</v>
      </c>
      <c r="C38">
        <f>Sheet1!H38</f>
        <v>0.45</v>
      </c>
      <c r="D38" s="2">
        <f>Sheet1!I38/Sheet1!J38</f>
        <v>0.50463179199750896</v>
      </c>
      <c r="E38" s="2">
        <f>Sheet1!G38</f>
        <v>24.71</v>
      </c>
    </row>
    <row r="39" spans="1:5">
      <c r="A39" t="str">
        <f>Sheet1!A39</f>
        <v>C038</v>
      </c>
      <c r="B39" t="str">
        <f>Sheet1!B39</f>
        <v>Reyes, Hurst and Gilbert</v>
      </c>
      <c r="C39">
        <f>Sheet1!H39</f>
        <v>0.75</v>
      </c>
      <c r="D39" s="2">
        <f>Sheet1!I39/Sheet1!J39</f>
        <v>4.0981369954096181</v>
      </c>
      <c r="E39" s="2">
        <f>Sheet1!G39</f>
        <v>22.92</v>
      </c>
    </row>
    <row r="40" spans="1:5">
      <c r="A40" t="str">
        <f>Sheet1!A40</f>
        <v>C039</v>
      </c>
      <c r="B40" t="str">
        <f>Sheet1!B40</f>
        <v>Allen-Orozco</v>
      </c>
      <c r="C40">
        <f>Sheet1!H40</f>
        <v>0.7</v>
      </c>
      <c r="D40" s="2">
        <f>Sheet1!I40/Sheet1!J40</f>
        <v>0.38254391470809662</v>
      </c>
      <c r="E40" s="2">
        <f>Sheet1!G40</f>
        <v>9.24</v>
      </c>
    </row>
    <row r="41" spans="1:5">
      <c r="A41" t="str">
        <f>Sheet1!A41</f>
        <v>C040</v>
      </c>
      <c r="B41" t="str">
        <f>Sheet1!B41</f>
        <v>Martinez-Griffith</v>
      </c>
      <c r="C41">
        <f>Sheet1!H41</f>
        <v>1.03</v>
      </c>
      <c r="D41" s="2">
        <f>Sheet1!I41/Sheet1!J41</f>
        <v>1.8312097557213913</v>
      </c>
      <c r="E41" s="2">
        <f>Sheet1!G41</f>
        <v>12.71</v>
      </c>
    </row>
    <row r="42" spans="1:5">
      <c r="A42" t="str">
        <f>Sheet1!A42</f>
        <v>C041</v>
      </c>
      <c r="B42" t="str">
        <f>Sheet1!B42</f>
        <v>Solis Group</v>
      </c>
      <c r="C42">
        <f>Sheet1!H42</f>
        <v>0.24</v>
      </c>
      <c r="D42" s="2">
        <f>Sheet1!I42/Sheet1!J42</f>
        <v>2.1979452185557617</v>
      </c>
      <c r="E42" s="2">
        <f>Sheet1!G42</f>
        <v>5.86</v>
      </c>
    </row>
    <row r="43" spans="1:5">
      <c r="A43" t="str">
        <f>Sheet1!A43</f>
        <v>C042</v>
      </c>
      <c r="B43" t="str">
        <f>Sheet1!B43</f>
        <v>Mcguire Inc</v>
      </c>
      <c r="C43">
        <f>Sheet1!H43</f>
        <v>0.24</v>
      </c>
      <c r="D43" s="2">
        <f>Sheet1!I43/Sheet1!J43</f>
        <v>0.96012665070306547</v>
      </c>
      <c r="E43" s="2">
        <f>Sheet1!G43</f>
        <v>23.53</v>
      </c>
    </row>
    <row r="44" spans="1:5">
      <c r="A44" t="str">
        <f>Sheet1!A44</f>
        <v>C043</v>
      </c>
      <c r="B44" t="str">
        <f>Sheet1!B44</f>
        <v>Freeman Ltd</v>
      </c>
      <c r="C44">
        <f>Sheet1!H44</f>
        <v>0.2</v>
      </c>
      <c r="D44" s="2">
        <f>Sheet1!I44/Sheet1!J44</f>
        <v>1.7020085425397566</v>
      </c>
      <c r="E44" s="2">
        <f>Sheet1!G44</f>
        <v>8.84</v>
      </c>
    </row>
    <row r="45" spans="1:5">
      <c r="A45" t="str">
        <f>Sheet1!A45</f>
        <v>C044</v>
      </c>
      <c r="B45" t="str">
        <f>Sheet1!B45</f>
        <v>Holmes Ltd</v>
      </c>
      <c r="C45">
        <f>Sheet1!H45</f>
        <v>0.14000000000000001</v>
      </c>
      <c r="D45" s="2">
        <f>Sheet1!I45/Sheet1!J45</f>
        <v>3.4635067774376913</v>
      </c>
      <c r="E45" s="2">
        <f>Sheet1!G45</f>
        <v>9.25</v>
      </c>
    </row>
    <row r="46" spans="1:5">
      <c r="A46" t="str">
        <f>Sheet1!A46</f>
        <v>C045</v>
      </c>
      <c r="B46" t="str">
        <f>Sheet1!B46</f>
        <v>Harris Group</v>
      </c>
      <c r="C46">
        <f>Sheet1!H46</f>
        <v>0.92</v>
      </c>
      <c r="D46" s="2">
        <f>Sheet1!I46/Sheet1!J46</f>
        <v>1.0069609868949467</v>
      </c>
      <c r="E46" s="2">
        <f>Sheet1!G46</f>
        <v>4.1100000000000003</v>
      </c>
    </row>
    <row r="47" spans="1:5">
      <c r="A47" t="str">
        <f>Sheet1!A47</f>
        <v>C046</v>
      </c>
      <c r="B47" t="str">
        <f>Sheet1!B47</f>
        <v>Rosario Group</v>
      </c>
      <c r="C47">
        <f>Sheet1!H47</f>
        <v>0.45</v>
      </c>
      <c r="D47" s="2">
        <f>Sheet1!I47/Sheet1!J47</f>
        <v>-5.7300595382371214E-2</v>
      </c>
      <c r="E47" s="2">
        <f>Sheet1!G47</f>
        <v>2.86</v>
      </c>
    </row>
    <row r="48" spans="1:5">
      <c r="A48" t="str">
        <f>Sheet1!A48</f>
        <v>C047</v>
      </c>
      <c r="B48" t="str">
        <f>Sheet1!B48</f>
        <v>Cole LLC</v>
      </c>
      <c r="C48">
        <f>Sheet1!H48</f>
        <v>0.71</v>
      </c>
      <c r="D48" s="2">
        <f>Sheet1!I48/Sheet1!J48</f>
        <v>-0.10038670027276179</v>
      </c>
      <c r="E48" s="2">
        <f>Sheet1!G48</f>
        <v>24.58</v>
      </c>
    </row>
    <row r="49" spans="1:5">
      <c r="A49" t="str">
        <f>Sheet1!A49</f>
        <v>C048</v>
      </c>
      <c r="B49" t="str">
        <f>Sheet1!B49</f>
        <v>Logan-Briggs</v>
      </c>
      <c r="C49">
        <f>Sheet1!H49</f>
        <v>0.56999999999999995</v>
      </c>
      <c r="D49" s="2">
        <f>Sheet1!I49/Sheet1!J49</f>
        <v>7.4686826110529084E-2</v>
      </c>
      <c r="E49" s="2">
        <f>Sheet1!G49</f>
        <v>3.98</v>
      </c>
    </row>
    <row r="50" spans="1:5">
      <c r="A50" t="str">
        <f>Sheet1!A50</f>
        <v>C049</v>
      </c>
      <c r="B50" t="str">
        <f>Sheet1!B50</f>
        <v>Sandoval Ltd</v>
      </c>
      <c r="C50">
        <f>Sheet1!H50</f>
        <v>0.45</v>
      </c>
      <c r="D50" s="2">
        <f>Sheet1!I50/Sheet1!J50</f>
        <v>2.7637533959002223</v>
      </c>
      <c r="E50" s="2">
        <f>Sheet1!G50</f>
        <v>20.78</v>
      </c>
    </row>
    <row r="51" spans="1:5">
      <c r="A51" t="str">
        <f>Sheet1!A51</f>
        <v>C050</v>
      </c>
      <c r="B51" t="str">
        <f>Sheet1!B51</f>
        <v>Baird, Henry and Stevens</v>
      </c>
      <c r="C51">
        <f>Sheet1!H51</f>
        <v>0.42</v>
      </c>
      <c r="D51" s="2">
        <f>Sheet1!I51/Sheet1!J51</f>
        <v>4.5550725610643035</v>
      </c>
      <c r="E51" s="2">
        <f>Sheet1!G51</f>
        <v>9.58</v>
      </c>
    </row>
    <row r="52" spans="1:5">
      <c r="A52" t="str">
        <f>Sheet1!A52</f>
        <v>C051</v>
      </c>
      <c r="B52" t="str">
        <f>Sheet1!B52</f>
        <v>Greene and Sons</v>
      </c>
      <c r="C52">
        <f>Sheet1!H52</f>
        <v>0.61</v>
      </c>
      <c r="D52" s="2">
        <f>Sheet1!I52/Sheet1!J52</f>
        <v>-1.5158984027835248E-2</v>
      </c>
      <c r="E52" s="2">
        <f>Sheet1!G52</f>
        <v>14</v>
      </c>
    </row>
    <row r="53" spans="1:5">
      <c r="A53" t="str">
        <f>Sheet1!A53</f>
        <v>C052</v>
      </c>
      <c r="B53" t="str">
        <f>Sheet1!B53</f>
        <v>Spencer Ltd</v>
      </c>
      <c r="C53">
        <f>Sheet1!H53</f>
        <v>0.37</v>
      </c>
      <c r="D53" s="2">
        <f>Sheet1!I53/Sheet1!J53</f>
        <v>0.53186674984070392</v>
      </c>
      <c r="E53" s="2">
        <f>Sheet1!G53</f>
        <v>22.79</v>
      </c>
    </row>
    <row r="54" spans="1:5">
      <c r="A54" t="str">
        <f>Sheet1!A54</f>
        <v>C053</v>
      </c>
      <c r="B54" t="str">
        <f>Sheet1!B54</f>
        <v>Edwards-Davis</v>
      </c>
      <c r="C54">
        <f>Sheet1!H54</f>
        <v>0.34</v>
      </c>
      <c r="D54" s="2">
        <f>Sheet1!I54/Sheet1!J54</f>
        <v>2.1077543476045326</v>
      </c>
      <c r="E54" s="2">
        <f>Sheet1!G54</f>
        <v>22.94</v>
      </c>
    </row>
    <row r="55" spans="1:5">
      <c r="A55" t="str">
        <f>Sheet1!A55</f>
        <v>C054</v>
      </c>
      <c r="B55" t="str">
        <f>Sheet1!B55</f>
        <v>Myers-Hall</v>
      </c>
      <c r="C55">
        <f>Sheet1!H55</f>
        <v>0.56999999999999995</v>
      </c>
      <c r="D55" s="2">
        <f>Sheet1!I55/Sheet1!J55</f>
        <v>0.91014851560125642</v>
      </c>
      <c r="E55" s="2">
        <f>Sheet1!G55</f>
        <v>18.55</v>
      </c>
    </row>
    <row r="56" spans="1:5">
      <c r="A56" t="str">
        <f>Sheet1!A56</f>
        <v>C055</v>
      </c>
      <c r="B56" t="str">
        <f>Sheet1!B56</f>
        <v>Hammond, Wood and Ramirez</v>
      </c>
      <c r="C56">
        <f>Sheet1!H56</f>
        <v>1.1499999999999999</v>
      </c>
      <c r="D56" s="2">
        <f>Sheet1!I56/Sheet1!J56</f>
        <v>0.19227916936871201</v>
      </c>
      <c r="E56" s="2">
        <f>Sheet1!G56</f>
        <v>13.17</v>
      </c>
    </row>
    <row r="57" spans="1:5">
      <c r="A57" t="str">
        <f>Sheet1!A57</f>
        <v>C056</v>
      </c>
      <c r="B57" t="str">
        <f>Sheet1!B57</f>
        <v>Figueroa-Young</v>
      </c>
      <c r="C57">
        <f>Sheet1!H57</f>
        <v>0.15</v>
      </c>
      <c r="D57" s="2">
        <f>Sheet1!I57/Sheet1!J57</f>
        <v>1.9890811465614615</v>
      </c>
      <c r="E57" s="2">
        <f>Sheet1!G57</f>
        <v>19.440000000000001</v>
      </c>
    </row>
    <row r="58" spans="1:5">
      <c r="A58" t="str">
        <f>Sheet1!A58</f>
        <v>C057</v>
      </c>
      <c r="B58" t="str">
        <f>Sheet1!B58</f>
        <v>Owens, Nichols and Welch</v>
      </c>
      <c r="C58">
        <f>Sheet1!H58</f>
        <v>0.16</v>
      </c>
      <c r="D58" s="2">
        <f>Sheet1!I58/Sheet1!J58</f>
        <v>0.58270130141239296</v>
      </c>
      <c r="E58" s="2">
        <f>Sheet1!G58</f>
        <v>5.8</v>
      </c>
    </row>
    <row r="59" spans="1:5">
      <c r="A59" t="str">
        <f>Sheet1!A59</f>
        <v>C058</v>
      </c>
      <c r="B59" t="str">
        <f>Sheet1!B59</f>
        <v>Lewis Group</v>
      </c>
      <c r="C59">
        <f>Sheet1!H59</f>
        <v>0.48</v>
      </c>
      <c r="D59" s="2">
        <f>Sheet1!I59/Sheet1!J59</f>
        <v>0.42011307860853042</v>
      </c>
      <c r="E59" s="2">
        <f>Sheet1!G59</f>
        <v>6.45</v>
      </c>
    </row>
    <row r="60" spans="1:5">
      <c r="A60" t="str">
        <f>Sheet1!A60</f>
        <v>C059</v>
      </c>
      <c r="B60" t="str">
        <f>Sheet1!B60</f>
        <v>Clark and Sons</v>
      </c>
      <c r="C60">
        <f>Sheet1!H60</f>
        <v>0.47</v>
      </c>
      <c r="D60" s="2">
        <f>Sheet1!I60/Sheet1!J60</f>
        <v>0.58253983015101751</v>
      </c>
      <c r="E60" s="2">
        <f>Sheet1!G60</f>
        <v>9.39</v>
      </c>
    </row>
    <row r="61" spans="1:5">
      <c r="A61" t="str">
        <f>Sheet1!A61</f>
        <v>C060</v>
      </c>
      <c r="B61" t="str">
        <f>Sheet1!B61</f>
        <v>Pacheco Ltd</v>
      </c>
      <c r="C61">
        <f>Sheet1!H61</f>
        <v>0.23</v>
      </c>
      <c r="D61" s="2">
        <f>Sheet1!I61/Sheet1!J61</f>
        <v>0.49660853953665574</v>
      </c>
      <c r="E61" s="2">
        <f>Sheet1!G61</f>
        <v>17.84</v>
      </c>
    </row>
    <row r="62" spans="1:5">
      <c r="A62" t="str">
        <f>Sheet1!A62</f>
        <v>C061</v>
      </c>
      <c r="B62" t="str">
        <f>Sheet1!B62</f>
        <v>Johnson and Sons</v>
      </c>
      <c r="C62">
        <f>Sheet1!H62</f>
        <v>0.64</v>
      </c>
      <c r="D62" s="2">
        <f>Sheet1!I62/Sheet1!J62</f>
        <v>1.0811778574337674</v>
      </c>
      <c r="E62" s="2">
        <f>Sheet1!G62</f>
        <v>7.35</v>
      </c>
    </row>
    <row r="63" spans="1:5">
      <c r="A63" t="str">
        <f>Sheet1!A63</f>
        <v>C062</v>
      </c>
      <c r="B63" t="str">
        <f>Sheet1!B63</f>
        <v>Jensen-Goodwin</v>
      </c>
      <c r="C63">
        <f>Sheet1!H63</f>
        <v>0.17</v>
      </c>
      <c r="D63" s="2">
        <f>Sheet1!I63/Sheet1!J63</f>
        <v>0.39072335251383267</v>
      </c>
      <c r="E63" s="2">
        <f>Sheet1!G63</f>
        <v>13.2</v>
      </c>
    </row>
    <row r="64" spans="1:5">
      <c r="A64" t="str">
        <f>Sheet1!A64</f>
        <v>C063</v>
      </c>
      <c r="B64" t="str">
        <f>Sheet1!B64</f>
        <v>Vaughn Group</v>
      </c>
      <c r="C64">
        <f>Sheet1!H64</f>
        <v>0.86</v>
      </c>
      <c r="D64" s="2">
        <f>Sheet1!I64/Sheet1!J64</f>
        <v>0.85382000478406028</v>
      </c>
      <c r="E64" s="2">
        <f>Sheet1!G64</f>
        <v>23.08</v>
      </c>
    </row>
    <row r="65" spans="1:5">
      <c r="A65" t="str">
        <f>Sheet1!A65</f>
        <v>C064</v>
      </c>
      <c r="B65" t="str">
        <f>Sheet1!B65</f>
        <v>Mccormick LLC</v>
      </c>
      <c r="C65">
        <f>Sheet1!H65</f>
        <v>1.17</v>
      </c>
      <c r="D65" s="2">
        <f>Sheet1!I65/Sheet1!J65</f>
        <v>0.42654398617203365</v>
      </c>
      <c r="E65" s="2">
        <f>Sheet1!G65</f>
        <v>7.88</v>
      </c>
    </row>
    <row r="66" spans="1:5">
      <c r="A66" t="str">
        <f>Sheet1!A66</f>
        <v>C065</v>
      </c>
      <c r="B66" t="str">
        <f>Sheet1!B66</f>
        <v>Harrington-Weaver</v>
      </c>
      <c r="C66">
        <f>Sheet1!H66</f>
        <v>1.1399999999999999</v>
      </c>
      <c r="D66" s="2">
        <f>Sheet1!I66/Sheet1!J66</f>
        <v>1.0920902520769877</v>
      </c>
      <c r="E66" s="2">
        <f>Sheet1!G66</f>
        <v>6.82</v>
      </c>
    </row>
    <row r="67" spans="1:5">
      <c r="A67" t="str">
        <f>Sheet1!A67</f>
        <v>C066</v>
      </c>
      <c r="B67" t="str">
        <f>Sheet1!B67</f>
        <v>Powell, Rodriguez and Rosales</v>
      </c>
      <c r="C67">
        <f>Sheet1!H67</f>
        <v>0.2</v>
      </c>
      <c r="D67" s="2">
        <f>Sheet1!I67/Sheet1!J67</f>
        <v>4.9439059196617334</v>
      </c>
      <c r="E67" s="2">
        <f>Sheet1!G67</f>
        <v>24.57</v>
      </c>
    </row>
    <row r="68" spans="1:5">
      <c r="A68" t="str">
        <f>Sheet1!A68</f>
        <v>C067</v>
      </c>
      <c r="B68" t="str">
        <f>Sheet1!B68</f>
        <v>Briggs, Lucas and Schroeder</v>
      </c>
      <c r="C68">
        <f>Sheet1!H68</f>
        <v>0.56000000000000005</v>
      </c>
      <c r="D68" s="2">
        <f>Sheet1!I68/Sheet1!J68</f>
        <v>1.3097911995000551</v>
      </c>
      <c r="E68" s="2">
        <f>Sheet1!G68</f>
        <v>6.91</v>
      </c>
    </row>
    <row r="69" spans="1:5">
      <c r="A69" t="str">
        <f>Sheet1!A69</f>
        <v>C068</v>
      </c>
      <c r="B69" t="str">
        <f>Sheet1!B69</f>
        <v>Williams, Thomas and Evans</v>
      </c>
      <c r="C69">
        <f>Sheet1!H69</f>
        <v>1.1200000000000001</v>
      </c>
      <c r="D69" s="2">
        <f>Sheet1!I69/Sheet1!J69</f>
        <v>5.5002734959371029</v>
      </c>
      <c r="E69" s="2">
        <f>Sheet1!G69</f>
        <v>21.62</v>
      </c>
    </row>
    <row r="70" spans="1:5">
      <c r="A70" t="str">
        <f>Sheet1!A70</f>
        <v>C069</v>
      </c>
      <c r="B70" t="str">
        <f>Sheet1!B70</f>
        <v>Brooks, Bradley and Blake</v>
      </c>
      <c r="C70">
        <f>Sheet1!H70</f>
        <v>0.74</v>
      </c>
      <c r="D70" s="2">
        <f>Sheet1!I70/Sheet1!J70</f>
        <v>2.6888230731260139</v>
      </c>
      <c r="E70" s="2">
        <f>Sheet1!G70</f>
        <v>16.28</v>
      </c>
    </row>
    <row r="71" spans="1:5">
      <c r="A71" t="str">
        <f>Sheet1!A71</f>
        <v>C070</v>
      </c>
      <c r="B71" t="str">
        <f>Sheet1!B71</f>
        <v>Christensen-Brown</v>
      </c>
      <c r="C71">
        <f>Sheet1!H71</f>
        <v>0.68</v>
      </c>
      <c r="D71" s="2">
        <f>Sheet1!I71/Sheet1!J71</f>
        <v>0.24581310936531703</v>
      </c>
      <c r="E71" s="2">
        <f>Sheet1!G71</f>
        <v>16.579999999999998</v>
      </c>
    </row>
    <row r="72" spans="1:5">
      <c r="A72" t="str">
        <f>Sheet1!A72</f>
        <v>C071</v>
      </c>
      <c r="B72" t="str">
        <f>Sheet1!B72</f>
        <v>Medina Group</v>
      </c>
      <c r="C72">
        <f>Sheet1!H72</f>
        <v>0.61</v>
      </c>
      <c r="D72" s="2">
        <f>Sheet1!I72/Sheet1!J72</f>
        <v>0.63520051762208496</v>
      </c>
      <c r="E72" s="2">
        <f>Sheet1!G72</f>
        <v>22.69</v>
      </c>
    </row>
    <row r="73" spans="1:5">
      <c r="A73" t="str">
        <f>Sheet1!A73</f>
        <v>C072</v>
      </c>
      <c r="B73" t="str">
        <f>Sheet1!B73</f>
        <v>Rodriguez, Roberts and Bowman</v>
      </c>
      <c r="C73">
        <f>Sheet1!H73</f>
        <v>0.43</v>
      </c>
      <c r="D73" s="2">
        <f>Sheet1!I73/Sheet1!J73</f>
        <v>-0.12238081519474439</v>
      </c>
      <c r="E73" s="2">
        <f>Sheet1!G73</f>
        <v>11.47</v>
      </c>
    </row>
    <row r="74" spans="1:5">
      <c r="A74" t="str">
        <f>Sheet1!A74</f>
        <v>C073</v>
      </c>
      <c r="B74" t="str">
        <f>Sheet1!B74</f>
        <v>Lang Ltd</v>
      </c>
      <c r="C74">
        <f>Sheet1!H74</f>
        <v>1.18</v>
      </c>
      <c r="D74" s="2">
        <f>Sheet1!I74/Sheet1!J74</f>
        <v>0.63664164581595772</v>
      </c>
      <c r="E74" s="2">
        <f>Sheet1!G74</f>
        <v>11.21</v>
      </c>
    </row>
    <row r="75" spans="1:5">
      <c r="A75" t="str">
        <f>Sheet1!A75</f>
        <v>C074</v>
      </c>
      <c r="B75" t="str">
        <f>Sheet1!B75</f>
        <v>Patterson, Townsend and Berry</v>
      </c>
      <c r="C75">
        <f>Sheet1!H75</f>
        <v>1.03</v>
      </c>
      <c r="D75" s="2">
        <f>Sheet1!I75/Sheet1!J75</f>
        <v>2.456750362761726</v>
      </c>
      <c r="E75" s="2">
        <f>Sheet1!G75</f>
        <v>16.3</v>
      </c>
    </row>
    <row r="76" spans="1:5">
      <c r="A76" t="str">
        <f>Sheet1!A76</f>
        <v>C075</v>
      </c>
      <c r="B76" t="str">
        <f>Sheet1!B76</f>
        <v>Estrada LLC</v>
      </c>
      <c r="C76">
        <f>Sheet1!H76</f>
        <v>0.97</v>
      </c>
      <c r="D76" s="2">
        <f>Sheet1!I76/Sheet1!J76</f>
        <v>0.2606562865601571</v>
      </c>
      <c r="E76" s="2">
        <f>Sheet1!G76</f>
        <v>11.41</v>
      </c>
    </row>
    <row r="77" spans="1:5">
      <c r="A77" t="str">
        <f>Sheet1!A77</f>
        <v>C076</v>
      </c>
      <c r="B77" t="str">
        <f>Sheet1!B77</f>
        <v>Sullivan Inc</v>
      </c>
      <c r="C77">
        <f>Sheet1!H77</f>
        <v>0.84</v>
      </c>
      <c r="D77" s="2">
        <f>Sheet1!I77/Sheet1!J77</f>
        <v>1.0868831711496476</v>
      </c>
      <c r="E77" s="2">
        <f>Sheet1!G77</f>
        <v>10.4</v>
      </c>
    </row>
    <row r="78" spans="1:5">
      <c r="A78" t="str">
        <f>Sheet1!A78</f>
        <v>C077</v>
      </c>
      <c r="B78" t="str">
        <f>Sheet1!B78</f>
        <v>Ibarra-Cross</v>
      </c>
      <c r="C78">
        <f>Sheet1!H78</f>
        <v>0.27</v>
      </c>
      <c r="D78" s="2">
        <f>Sheet1!I78/Sheet1!J78</f>
        <v>3.4868154491398284</v>
      </c>
      <c r="E78" s="2">
        <f>Sheet1!G78</f>
        <v>12.54</v>
      </c>
    </row>
    <row r="79" spans="1:5">
      <c r="A79" t="str">
        <f>Sheet1!A79</f>
        <v>C078</v>
      </c>
      <c r="B79" t="str">
        <f>Sheet1!B79</f>
        <v>Harris PLC</v>
      </c>
      <c r="C79">
        <f>Sheet1!H79</f>
        <v>0.76</v>
      </c>
      <c r="D79" s="2">
        <f>Sheet1!I79/Sheet1!J79</f>
        <v>0.39452934568346087</v>
      </c>
      <c r="E79" s="2">
        <f>Sheet1!G79</f>
        <v>20.25</v>
      </c>
    </row>
    <row r="80" spans="1:5">
      <c r="A80" t="str">
        <f>Sheet1!A80</f>
        <v>C079</v>
      </c>
      <c r="B80" t="str">
        <f>Sheet1!B80</f>
        <v>Paul LLC</v>
      </c>
      <c r="C80">
        <f>Sheet1!H80</f>
        <v>0.34</v>
      </c>
      <c r="D80" s="2">
        <f>Sheet1!I80/Sheet1!J80</f>
        <v>0.20618328372433278</v>
      </c>
      <c r="E80" s="2">
        <f>Sheet1!G80</f>
        <v>3.35</v>
      </c>
    </row>
    <row r="81" spans="1:5">
      <c r="A81" t="str">
        <f>Sheet1!A81</f>
        <v>C080</v>
      </c>
      <c r="B81" t="str">
        <f>Sheet1!B81</f>
        <v>Conway, Reyes and Johnson</v>
      </c>
      <c r="C81">
        <f>Sheet1!H81</f>
        <v>0.44</v>
      </c>
      <c r="D81" s="2">
        <f>Sheet1!I81/Sheet1!J81</f>
        <v>0.5206138306138306</v>
      </c>
      <c r="E81" s="2">
        <f>Sheet1!G81</f>
        <v>11.5</v>
      </c>
    </row>
    <row r="82" spans="1:5">
      <c r="A82" t="str">
        <f>Sheet1!A82</f>
        <v>C081</v>
      </c>
      <c r="B82" t="str">
        <f>Sheet1!B82</f>
        <v>Richardson and Sons</v>
      </c>
      <c r="C82">
        <f>Sheet1!H82</f>
        <v>0.55000000000000004</v>
      </c>
      <c r="D82" s="2">
        <f>Sheet1!I82/Sheet1!J82</f>
        <v>-8.6606226802652869E-2</v>
      </c>
      <c r="E82" s="2">
        <f>Sheet1!G82</f>
        <v>4.28</v>
      </c>
    </row>
    <row r="83" spans="1:5">
      <c r="A83" t="str">
        <f>Sheet1!A83</f>
        <v>C082</v>
      </c>
      <c r="B83" t="str">
        <f>Sheet1!B83</f>
        <v>Butler and Sons</v>
      </c>
      <c r="C83">
        <f>Sheet1!H83</f>
        <v>0.32</v>
      </c>
      <c r="D83" s="2">
        <f>Sheet1!I83/Sheet1!J83</f>
        <v>0.31289850733726193</v>
      </c>
      <c r="E83" s="2">
        <f>Sheet1!G83</f>
        <v>23.22</v>
      </c>
    </row>
    <row r="84" spans="1:5">
      <c r="A84" t="str">
        <f>Sheet1!A84</f>
        <v>C083</v>
      </c>
      <c r="B84" t="str">
        <f>Sheet1!B84</f>
        <v>Davis-Baker</v>
      </c>
      <c r="C84">
        <f>Sheet1!H84</f>
        <v>0.94</v>
      </c>
      <c r="D84" s="2">
        <f>Sheet1!I84/Sheet1!J84</f>
        <v>6.0928592406212831E-2</v>
      </c>
      <c r="E84" s="2">
        <f>Sheet1!G84</f>
        <v>24.53</v>
      </c>
    </row>
    <row r="85" spans="1:5">
      <c r="A85" t="str">
        <f>Sheet1!A85</f>
        <v>C084</v>
      </c>
      <c r="B85" t="str">
        <f>Sheet1!B85</f>
        <v>Marquez, Turner and Jones</v>
      </c>
      <c r="C85">
        <f>Sheet1!H85</f>
        <v>0.52</v>
      </c>
      <c r="D85" s="2">
        <f>Sheet1!I85/Sheet1!J85</f>
        <v>-4.8120256944343291E-2</v>
      </c>
      <c r="E85" s="2">
        <f>Sheet1!G85</f>
        <v>21.83</v>
      </c>
    </row>
    <row r="86" spans="1:5">
      <c r="A86" t="str">
        <f>Sheet1!A86</f>
        <v>C085</v>
      </c>
      <c r="B86" t="str">
        <f>Sheet1!B86</f>
        <v>Owens, Martin and Jennings</v>
      </c>
      <c r="C86">
        <f>Sheet1!H86</f>
        <v>1.1299999999999999</v>
      </c>
      <c r="D86" s="2">
        <f>Sheet1!I86/Sheet1!J86</f>
        <v>0.26113715242822738</v>
      </c>
      <c r="E86" s="2">
        <f>Sheet1!G86</f>
        <v>23.27</v>
      </c>
    </row>
    <row r="87" spans="1:5">
      <c r="A87" t="str">
        <f>Sheet1!A87</f>
        <v>C086</v>
      </c>
      <c r="B87" t="str">
        <f>Sheet1!B87</f>
        <v>Jones Inc</v>
      </c>
      <c r="C87">
        <f>Sheet1!H87</f>
        <v>1.17</v>
      </c>
      <c r="D87" s="2">
        <f>Sheet1!I87/Sheet1!J87</f>
        <v>0.40794730315207839</v>
      </c>
      <c r="E87" s="2">
        <f>Sheet1!G87</f>
        <v>18.87</v>
      </c>
    </row>
    <row r="88" spans="1:5">
      <c r="A88" t="str">
        <f>Sheet1!A88</f>
        <v>C087</v>
      </c>
      <c r="B88" t="str">
        <f>Sheet1!B88</f>
        <v>Hart Group</v>
      </c>
      <c r="C88">
        <f>Sheet1!H88</f>
        <v>0.22</v>
      </c>
      <c r="D88" s="2">
        <f>Sheet1!I88/Sheet1!J88</f>
        <v>0.52770884355955505</v>
      </c>
      <c r="E88" s="2">
        <f>Sheet1!G88</f>
        <v>8.31</v>
      </c>
    </row>
    <row r="89" spans="1:5">
      <c r="A89" t="str">
        <f>Sheet1!A89</f>
        <v>C088</v>
      </c>
      <c r="B89" t="str">
        <f>Sheet1!B89</f>
        <v>Lane, Fernandez and Bryant</v>
      </c>
      <c r="C89">
        <f>Sheet1!H89</f>
        <v>0.56000000000000005</v>
      </c>
      <c r="D89" s="2">
        <f>Sheet1!I89/Sheet1!J89</f>
        <v>0.43104245725447676</v>
      </c>
      <c r="E89" s="2">
        <f>Sheet1!G89</f>
        <v>3.5</v>
      </c>
    </row>
    <row r="90" spans="1:5">
      <c r="A90" t="str">
        <f>Sheet1!A90</f>
        <v>C089</v>
      </c>
      <c r="B90" t="str">
        <f>Sheet1!B90</f>
        <v>Cunningham, Hoffman and Smith</v>
      </c>
      <c r="C90">
        <f>Sheet1!H90</f>
        <v>0.98</v>
      </c>
      <c r="D90" s="2">
        <f>Sheet1!I90/Sheet1!J90</f>
        <v>2.2297080568846535</v>
      </c>
      <c r="E90" s="2">
        <f>Sheet1!G90</f>
        <v>23.15</v>
      </c>
    </row>
    <row r="91" spans="1:5">
      <c r="A91" t="str">
        <f>Sheet1!A91</f>
        <v>C090</v>
      </c>
      <c r="B91" t="str">
        <f>Sheet1!B91</f>
        <v>Smith, Perkins and Hanson</v>
      </c>
      <c r="C91">
        <f>Sheet1!H91</f>
        <v>0.4</v>
      </c>
      <c r="D91" s="2">
        <f>Sheet1!I91/Sheet1!J91</f>
        <v>0.23817552487329324</v>
      </c>
      <c r="E91" s="2">
        <f>Sheet1!G91</f>
        <v>7.03</v>
      </c>
    </row>
    <row r="92" spans="1:5">
      <c r="A92" t="str">
        <f>Sheet1!A92</f>
        <v>C091</v>
      </c>
      <c r="B92" t="str">
        <f>Sheet1!B92</f>
        <v>Davis LLC</v>
      </c>
      <c r="C92">
        <f>Sheet1!H92</f>
        <v>0.43</v>
      </c>
      <c r="D92" s="2">
        <f>Sheet1!I92/Sheet1!J92</f>
        <v>1.0401801927103858</v>
      </c>
      <c r="E92" s="2">
        <f>Sheet1!G92</f>
        <v>24.03</v>
      </c>
    </row>
    <row r="93" spans="1:5">
      <c r="A93" t="str">
        <f>Sheet1!A93</f>
        <v>C092</v>
      </c>
      <c r="B93" t="str">
        <f>Sheet1!B93</f>
        <v>Woodward-Jackson</v>
      </c>
      <c r="C93">
        <f>Sheet1!H93</f>
        <v>0.6</v>
      </c>
      <c r="D93" s="2">
        <f>Sheet1!I93/Sheet1!J93</f>
        <v>1.1896123653967967</v>
      </c>
      <c r="E93" s="2">
        <f>Sheet1!G93</f>
        <v>3.16</v>
      </c>
    </row>
    <row r="94" spans="1:5">
      <c r="A94" t="str">
        <f>Sheet1!A94</f>
        <v>C093</v>
      </c>
      <c r="B94" t="str">
        <f>Sheet1!B94</f>
        <v>Williams, Mullins and White</v>
      </c>
      <c r="C94">
        <f>Sheet1!H94</f>
        <v>1.05</v>
      </c>
      <c r="D94" s="2">
        <f>Sheet1!I94/Sheet1!J94</f>
        <v>4.1485573732089174</v>
      </c>
      <c r="E94" s="2">
        <f>Sheet1!G94</f>
        <v>10.23</v>
      </c>
    </row>
    <row r="95" spans="1:5">
      <c r="A95" t="str">
        <f>Sheet1!A95</f>
        <v>C094</v>
      </c>
      <c r="B95" t="str">
        <f>Sheet1!B95</f>
        <v>Walker and Sons</v>
      </c>
      <c r="C95">
        <f>Sheet1!H95</f>
        <v>0.3</v>
      </c>
      <c r="D95" s="2">
        <f>Sheet1!I95/Sheet1!J95</f>
        <v>-5.8956440045032157E-2</v>
      </c>
      <c r="E95" s="2">
        <f>Sheet1!G95</f>
        <v>5.12</v>
      </c>
    </row>
    <row r="96" spans="1:5">
      <c r="A96" t="str">
        <f>Sheet1!A96</f>
        <v>C095</v>
      </c>
      <c r="B96" t="str">
        <f>Sheet1!B96</f>
        <v>Hall Group</v>
      </c>
      <c r="C96">
        <f>Sheet1!H96</f>
        <v>0.64</v>
      </c>
      <c r="D96" s="2">
        <f>Sheet1!I96/Sheet1!J96</f>
        <v>0.17401090465648317</v>
      </c>
      <c r="E96" s="2">
        <f>Sheet1!G96</f>
        <v>9.24</v>
      </c>
    </row>
    <row r="97" spans="1:5">
      <c r="A97" t="str">
        <f>Sheet1!A97</f>
        <v>C096</v>
      </c>
      <c r="B97" t="str">
        <f>Sheet1!B97</f>
        <v>Hunt-Dean</v>
      </c>
      <c r="C97">
        <f>Sheet1!H97</f>
        <v>0.39</v>
      </c>
      <c r="D97" s="2">
        <f>Sheet1!I97/Sheet1!J97</f>
        <v>4.5723251459683185</v>
      </c>
      <c r="E97" s="2">
        <f>Sheet1!G97</f>
        <v>22.7</v>
      </c>
    </row>
    <row r="98" spans="1:5">
      <c r="A98" t="str">
        <f>Sheet1!A98</f>
        <v>C097</v>
      </c>
      <c r="B98" t="str">
        <f>Sheet1!B98</f>
        <v>Brown, Williams and Bennett</v>
      </c>
      <c r="C98">
        <f>Sheet1!H98</f>
        <v>0.52</v>
      </c>
      <c r="D98" s="2">
        <f>Sheet1!I98/Sheet1!J98</f>
        <v>0.59811980829417899</v>
      </c>
      <c r="E98" s="2">
        <f>Sheet1!G98</f>
        <v>7.33</v>
      </c>
    </row>
    <row r="99" spans="1:5">
      <c r="A99" t="str">
        <f>Sheet1!A99</f>
        <v>C098</v>
      </c>
      <c r="B99" t="str">
        <f>Sheet1!B99</f>
        <v>Blackwell, Cox and Morales</v>
      </c>
      <c r="C99">
        <f>Sheet1!H99</f>
        <v>0.73</v>
      </c>
      <c r="D99" s="2">
        <f>Sheet1!I99/Sheet1!J99</f>
        <v>0.42926223232612648</v>
      </c>
      <c r="E99" s="2">
        <f>Sheet1!G99</f>
        <v>7.22</v>
      </c>
    </row>
    <row r="100" spans="1:5">
      <c r="A100" t="str">
        <f>Sheet1!A100</f>
        <v>C099</v>
      </c>
      <c r="B100" t="str">
        <f>Sheet1!B100</f>
        <v>Martinez-Taylor</v>
      </c>
      <c r="C100">
        <f>Sheet1!H100</f>
        <v>0.98</v>
      </c>
      <c r="D100" s="2">
        <f>Sheet1!I100/Sheet1!J100</f>
        <v>0.47158821258368189</v>
      </c>
      <c r="E100" s="2">
        <f>Sheet1!G100</f>
        <v>9.8800000000000008</v>
      </c>
    </row>
    <row r="101" spans="1:5">
      <c r="A101" t="str">
        <f>Sheet1!A101</f>
        <v>C100</v>
      </c>
      <c r="B101" t="str">
        <f>Sheet1!B101</f>
        <v>Thomas Group</v>
      </c>
      <c r="C101">
        <f>Sheet1!H101</f>
        <v>0.56000000000000005</v>
      </c>
      <c r="D101" s="2">
        <f>Sheet1!I101/Sheet1!J101</f>
        <v>0.54104399146202509</v>
      </c>
      <c r="E101" s="2">
        <f>Sheet1!G101</f>
        <v>15.71</v>
      </c>
    </row>
    <row r="102" spans="1:5">
      <c r="A102" t="str">
        <f>Sheet1!A102</f>
        <v>C101</v>
      </c>
      <c r="B102" t="str">
        <f>Sheet1!B102</f>
        <v>Kline LLC</v>
      </c>
      <c r="C102">
        <f>Sheet1!H102</f>
        <v>0.62</v>
      </c>
      <c r="D102" s="2">
        <f>Sheet1!I102/Sheet1!J102</f>
        <v>1.8164249530855092</v>
      </c>
      <c r="E102" s="2">
        <f>Sheet1!G102</f>
        <v>7.93</v>
      </c>
    </row>
    <row r="103" spans="1:5">
      <c r="A103" t="str">
        <f>Sheet1!A103</f>
        <v>C102</v>
      </c>
      <c r="B103" t="str">
        <f>Sheet1!B103</f>
        <v>Ramirez, Murray and Jennings</v>
      </c>
      <c r="C103">
        <f>Sheet1!H103</f>
        <v>0.61</v>
      </c>
      <c r="D103" s="2">
        <f>Sheet1!I103/Sheet1!J103</f>
        <v>2.6668490336947079</v>
      </c>
      <c r="E103" s="2">
        <f>Sheet1!G103</f>
        <v>19.34</v>
      </c>
    </row>
    <row r="104" spans="1:5">
      <c r="A104" t="str">
        <f>Sheet1!A104</f>
        <v>C103</v>
      </c>
      <c r="B104" t="str">
        <f>Sheet1!B104</f>
        <v>Ortiz Ltd</v>
      </c>
      <c r="C104">
        <f>Sheet1!H104</f>
        <v>0.34</v>
      </c>
      <c r="D104" s="2">
        <f>Sheet1!I104/Sheet1!J104</f>
        <v>4.5247360250439428</v>
      </c>
      <c r="E104" s="2">
        <f>Sheet1!G104</f>
        <v>11.37</v>
      </c>
    </row>
    <row r="105" spans="1:5">
      <c r="A105" t="str">
        <f>Sheet1!A105</f>
        <v>C104</v>
      </c>
      <c r="B105" t="str">
        <f>Sheet1!B105</f>
        <v>Gonzalez-Jordan</v>
      </c>
      <c r="C105">
        <f>Sheet1!H105</f>
        <v>0.33</v>
      </c>
      <c r="D105" s="2">
        <f>Sheet1!I105/Sheet1!J105</f>
        <v>1.0845747643454904</v>
      </c>
      <c r="E105" s="2">
        <f>Sheet1!G105</f>
        <v>24.96</v>
      </c>
    </row>
    <row r="106" spans="1:5">
      <c r="A106" t="str">
        <f>Sheet1!A106</f>
        <v>C105</v>
      </c>
      <c r="B106" t="str">
        <f>Sheet1!B106</f>
        <v>Reyes, Taylor and Ayala</v>
      </c>
      <c r="C106">
        <f>Sheet1!H106</f>
        <v>0.97</v>
      </c>
      <c r="D106" s="2">
        <f>Sheet1!I106/Sheet1!J106</f>
        <v>1.8996329536044403</v>
      </c>
      <c r="E106" s="2">
        <f>Sheet1!G106</f>
        <v>19.04</v>
      </c>
    </row>
    <row r="107" spans="1:5">
      <c r="A107" t="str">
        <f>Sheet1!A107</f>
        <v>C106</v>
      </c>
      <c r="B107" t="str">
        <f>Sheet1!B107</f>
        <v>Aguilar-Francis</v>
      </c>
      <c r="C107">
        <f>Sheet1!H107</f>
        <v>0.24</v>
      </c>
      <c r="D107" s="2">
        <f>Sheet1!I107/Sheet1!J107</f>
        <v>-8.8834647552457388E-2</v>
      </c>
      <c r="E107" s="2">
        <f>Sheet1!G107</f>
        <v>4.53</v>
      </c>
    </row>
    <row r="108" spans="1:5">
      <c r="A108" t="str">
        <f>Sheet1!A108</f>
        <v>C107</v>
      </c>
      <c r="B108" t="str">
        <f>Sheet1!B108</f>
        <v>Martinez, Martinez and Wilcox</v>
      </c>
      <c r="C108">
        <f>Sheet1!H108</f>
        <v>0.87</v>
      </c>
      <c r="D108" s="2">
        <f>Sheet1!I108/Sheet1!J108</f>
        <v>1.7756505587490818</v>
      </c>
      <c r="E108" s="2">
        <f>Sheet1!G108</f>
        <v>14.47</v>
      </c>
    </row>
    <row r="109" spans="1:5">
      <c r="A109" t="str">
        <f>Sheet1!A109</f>
        <v>C108</v>
      </c>
      <c r="B109" t="str">
        <f>Sheet1!B109</f>
        <v>Alexander-Gardner</v>
      </c>
      <c r="C109">
        <f>Sheet1!H109</f>
        <v>0.5</v>
      </c>
      <c r="D109" s="2">
        <f>Sheet1!I109/Sheet1!J109</f>
        <v>1.3588199728969039</v>
      </c>
      <c r="E109" s="2">
        <f>Sheet1!G109</f>
        <v>19.11</v>
      </c>
    </row>
    <row r="110" spans="1:5">
      <c r="A110" t="str">
        <f>Sheet1!A110</f>
        <v>C109</v>
      </c>
      <c r="B110" t="str">
        <f>Sheet1!B110</f>
        <v>Taylor and Sons</v>
      </c>
      <c r="C110">
        <f>Sheet1!H110</f>
        <v>0.42</v>
      </c>
      <c r="D110" s="2">
        <f>Sheet1!I110/Sheet1!J110</f>
        <v>1.5038354663576359</v>
      </c>
      <c r="E110" s="2">
        <f>Sheet1!G110</f>
        <v>20.45</v>
      </c>
    </row>
    <row r="111" spans="1:5">
      <c r="A111" t="str">
        <f>Sheet1!A111</f>
        <v>C110</v>
      </c>
      <c r="B111" t="str">
        <f>Sheet1!B111</f>
        <v>Lane-Williams</v>
      </c>
      <c r="C111">
        <f>Sheet1!H111</f>
        <v>1.1000000000000001</v>
      </c>
      <c r="D111" s="2">
        <f>Sheet1!I111/Sheet1!J111</f>
        <v>1.72257265377288</v>
      </c>
      <c r="E111" s="2">
        <f>Sheet1!G111</f>
        <v>6.95</v>
      </c>
    </row>
    <row r="112" spans="1:5">
      <c r="A112" t="str">
        <f>Sheet1!A112</f>
        <v>C111</v>
      </c>
      <c r="B112" t="str">
        <f>Sheet1!B112</f>
        <v>Walton Inc</v>
      </c>
      <c r="C112">
        <f>Sheet1!H112</f>
        <v>0.47</v>
      </c>
      <c r="D112" s="2">
        <f>Sheet1!I112/Sheet1!J112</f>
        <v>2.6966720147568859</v>
      </c>
      <c r="E112" s="2">
        <f>Sheet1!G112</f>
        <v>17.75</v>
      </c>
    </row>
    <row r="113" spans="1:5">
      <c r="A113" t="str">
        <f>Sheet1!A113</f>
        <v>C112</v>
      </c>
      <c r="B113" t="str">
        <f>Sheet1!B113</f>
        <v>Perry LLC</v>
      </c>
      <c r="C113">
        <f>Sheet1!H113</f>
        <v>0.3</v>
      </c>
      <c r="D113" s="2">
        <f>Sheet1!I113/Sheet1!J113</f>
        <v>1.2939525727069352</v>
      </c>
      <c r="E113" s="2">
        <f>Sheet1!G113</f>
        <v>13.21</v>
      </c>
    </row>
    <row r="114" spans="1:5">
      <c r="A114" t="str">
        <f>Sheet1!A114</f>
        <v>C113</v>
      </c>
      <c r="B114" t="str">
        <f>Sheet1!B114</f>
        <v>Reeves Group</v>
      </c>
      <c r="C114">
        <f>Sheet1!H114</f>
        <v>0.9</v>
      </c>
      <c r="D114" s="2">
        <f>Sheet1!I114/Sheet1!J114</f>
        <v>1.0187175029947748</v>
      </c>
      <c r="E114" s="2">
        <f>Sheet1!G114</f>
        <v>13.79</v>
      </c>
    </row>
    <row r="115" spans="1:5">
      <c r="A115" t="str">
        <f>Sheet1!A115</f>
        <v>C114</v>
      </c>
      <c r="B115" t="str">
        <f>Sheet1!B115</f>
        <v>Mcdonald PLC</v>
      </c>
      <c r="C115">
        <f>Sheet1!H115</f>
        <v>0.61</v>
      </c>
      <c r="D115" s="2">
        <f>Sheet1!I115/Sheet1!J115</f>
        <v>0.60009834342201196</v>
      </c>
      <c r="E115" s="2">
        <f>Sheet1!G115</f>
        <v>4.4000000000000004</v>
      </c>
    </row>
    <row r="116" spans="1:5">
      <c r="A116" t="str">
        <f>Sheet1!A116</f>
        <v>C115</v>
      </c>
      <c r="B116" t="str">
        <f>Sheet1!B116</f>
        <v>Robinson-Bowman</v>
      </c>
      <c r="C116">
        <f>Sheet1!H116</f>
        <v>0.9</v>
      </c>
      <c r="D116" s="2">
        <f>Sheet1!I116/Sheet1!J116</f>
        <v>0.26174679673459167</v>
      </c>
      <c r="E116" s="2">
        <f>Sheet1!G116</f>
        <v>16.010000000000002</v>
      </c>
    </row>
    <row r="117" spans="1:5">
      <c r="A117" t="str">
        <f>Sheet1!A117</f>
        <v>C116</v>
      </c>
      <c r="B117" t="str">
        <f>Sheet1!B117</f>
        <v>Price, Johnson and Martinez</v>
      </c>
      <c r="C117">
        <f>Sheet1!H117</f>
        <v>1.1299999999999999</v>
      </c>
      <c r="D117" s="2">
        <f>Sheet1!I117/Sheet1!J117</f>
        <v>2.1760517418334362</v>
      </c>
      <c r="E117" s="2">
        <f>Sheet1!G117</f>
        <v>14.55</v>
      </c>
    </row>
    <row r="118" spans="1:5">
      <c r="A118" t="str">
        <f>Sheet1!A118</f>
        <v>C117</v>
      </c>
      <c r="B118" t="str">
        <f>Sheet1!B118</f>
        <v>Jones-Martinez</v>
      </c>
      <c r="C118">
        <f>Sheet1!H118</f>
        <v>1.0900000000000001</v>
      </c>
      <c r="D118" s="2">
        <f>Sheet1!I118/Sheet1!J118</f>
        <v>0.32749595898773765</v>
      </c>
      <c r="E118" s="2">
        <f>Sheet1!G118</f>
        <v>8.9700000000000006</v>
      </c>
    </row>
    <row r="119" spans="1:5">
      <c r="A119" t="str">
        <f>Sheet1!A119</f>
        <v>C118</v>
      </c>
      <c r="B119" t="str">
        <f>Sheet1!B119</f>
        <v>Douglas and Sons</v>
      </c>
      <c r="C119">
        <f>Sheet1!H119</f>
        <v>0.75</v>
      </c>
      <c r="D119" s="2">
        <f>Sheet1!I119/Sheet1!J119</f>
        <v>1.8534844767640628</v>
      </c>
      <c r="E119" s="2">
        <f>Sheet1!G119</f>
        <v>3.29</v>
      </c>
    </row>
    <row r="120" spans="1:5">
      <c r="A120" t="str">
        <f>Sheet1!A120</f>
        <v>C119</v>
      </c>
      <c r="B120" t="str">
        <f>Sheet1!B120</f>
        <v>White and Sons</v>
      </c>
      <c r="C120">
        <f>Sheet1!H120</f>
        <v>0.12</v>
      </c>
      <c r="D120" s="2">
        <f>Sheet1!I120/Sheet1!J120</f>
        <v>0.8846144178774844</v>
      </c>
      <c r="E120" s="2">
        <f>Sheet1!G120</f>
        <v>17.809999999999999</v>
      </c>
    </row>
    <row r="121" spans="1:5">
      <c r="A121" t="str">
        <f>Sheet1!A121</f>
        <v>C120</v>
      </c>
      <c r="B121" t="str">
        <f>Sheet1!B121</f>
        <v>Glenn-Cordova</v>
      </c>
      <c r="C121">
        <f>Sheet1!H121</f>
        <v>0.11</v>
      </c>
      <c r="D121" s="2">
        <f>Sheet1!I121/Sheet1!J121</f>
        <v>0.6741463788276747</v>
      </c>
      <c r="E121" s="2">
        <f>Sheet1!G121</f>
        <v>2.35</v>
      </c>
    </row>
    <row r="122" spans="1:5">
      <c r="A122" t="str">
        <f>Sheet1!A122</f>
        <v>C121</v>
      </c>
      <c r="B122" t="str">
        <f>Sheet1!B122</f>
        <v>Molina-Franklin</v>
      </c>
      <c r="C122">
        <f>Sheet1!H122</f>
        <v>0.31</v>
      </c>
      <c r="D122" s="2">
        <f>Sheet1!I122/Sheet1!J122</f>
        <v>0.3675261363178528</v>
      </c>
      <c r="E122" s="2">
        <f>Sheet1!G122</f>
        <v>8.8699999999999992</v>
      </c>
    </row>
    <row r="123" spans="1:5">
      <c r="A123" t="str">
        <f>Sheet1!A123</f>
        <v>C122</v>
      </c>
      <c r="B123" t="str">
        <f>Sheet1!B123</f>
        <v>Williams-Hernandez</v>
      </c>
      <c r="C123">
        <f>Sheet1!H123</f>
        <v>0.12</v>
      </c>
      <c r="D123" s="2">
        <f>Sheet1!I123/Sheet1!J123</f>
        <v>4.0115680056781109</v>
      </c>
      <c r="E123" s="2">
        <f>Sheet1!G123</f>
        <v>11.91</v>
      </c>
    </row>
    <row r="124" spans="1:5">
      <c r="A124" t="str">
        <f>Sheet1!A124</f>
        <v>C123</v>
      </c>
      <c r="B124" t="str">
        <f>Sheet1!B124</f>
        <v>Vaughn, Atkinson and Perez</v>
      </c>
      <c r="C124">
        <f>Sheet1!H124</f>
        <v>0.57999999999999996</v>
      </c>
      <c r="D124" s="2">
        <f>Sheet1!I124/Sheet1!J124</f>
        <v>0.2596799604054521</v>
      </c>
      <c r="E124" s="2">
        <f>Sheet1!G124</f>
        <v>19.510000000000002</v>
      </c>
    </row>
    <row r="125" spans="1:5">
      <c r="A125" t="str">
        <f>Sheet1!A125</f>
        <v>C124</v>
      </c>
      <c r="B125" t="str">
        <f>Sheet1!B125</f>
        <v>Brooks-Stanley</v>
      </c>
      <c r="C125">
        <f>Sheet1!H125</f>
        <v>0.11</v>
      </c>
      <c r="D125" s="2">
        <f>Sheet1!I125/Sheet1!J125</f>
        <v>7.742555802357912</v>
      </c>
      <c r="E125" s="2">
        <f>Sheet1!G125</f>
        <v>20.62</v>
      </c>
    </row>
    <row r="126" spans="1:5">
      <c r="A126" t="str">
        <f>Sheet1!A126</f>
        <v>C125</v>
      </c>
      <c r="B126" t="str">
        <f>Sheet1!B126</f>
        <v>Perez-Campos</v>
      </c>
      <c r="C126">
        <f>Sheet1!H126</f>
        <v>0.75</v>
      </c>
      <c r="D126" s="2">
        <f>Sheet1!I126/Sheet1!J126</f>
        <v>1.4456833502425492</v>
      </c>
      <c r="E126" s="2">
        <f>Sheet1!G126</f>
        <v>14.17</v>
      </c>
    </row>
    <row r="127" spans="1:5">
      <c r="A127" t="str">
        <f>Sheet1!A127</f>
        <v>C126</v>
      </c>
      <c r="B127" t="str">
        <f>Sheet1!B127</f>
        <v>Malone Group</v>
      </c>
      <c r="C127">
        <f>Sheet1!H127</f>
        <v>0.74</v>
      </c>
      <c r="D127" s="2">
        <f>Sheet1!I127/Sheet1!J127</f>
        <v>2.553574313278236</v>
      </c>
      <c r="E127" s="2">
        <f>Sheet1!G127</f>
        <v>16.14</v>
      </c>
    </row>
    <row r="128" spans="1:5">
      <c r="A128" t="str">
        <f>Sheet1!A128</f>
        <v>C127</v>
      </c>
      <c r="B128" t="str">
        <f>Sheet1!B128</f>
        <v>Warren Inc</v>
      </c>
      <c r="C128">
        <f>Sheet1!H128</f>
        <v>0.23</v>
      </c>
      <c r="D128" s="2">
        <f>Sheet1!I128/Sheet1!J128</f>
        <v>-3.5239976402980738E-2</v>
      </c>
      <c r="E128" s="2">
        <f>Sheet1!G128</f>
        <v>7.98</v>
      </c>
    </row>
    <row r="129" spans="1:5">
      <c r="A129" t="str">
        <f>Sheet1!A129</f>
        <v>C128</v>
      </c>
      <c r="B129" t="str">
        <f>Sheet1!B129</f>
        <v>May, Peters and Jones</v>
      </c>
      <c r="C129">
        <f>Sheet1!H129</f>
        <v>0.49</v>
      </c>
      <c r="D129" s="2">
        <f>Sheet1!I129/Sheet1!J129</f>
        <v>0.15893372843474549</v>
      </c>
      <c r="E129" s="2">
        <f>Sheet1!G129</f>
        <v>12.85</v>
      </c>
    </row>
    <row r="130" spans="1:5">
      <c r="A130" t="str">
        <f>Sheet1!A130</f>
        <v>C129</v>
      </c>
      <c r="B130" t="str">
        <f>Sheet1!B130</f>
        <v>Wells Group</v>
      </c>
      <c r="C130">
        <f>Sheet1!H130</f>
        <v>0.67</v>
      </c>
      <c r="D130" s="2">
        <f>Sheet1!I130/Sheet1!J130</f>
        <v>0.98569052349489439</v>
      </c>
      <c r="E130" s="2">
        <f>Sheet1!G130</f>
        <v>12.68</v>
      </c>
    </row>
    <row r="131" spans="1:5">
      <c r="A131" t="str">
        <f>Sheet1!A131</f>
        <v>C130</v>
      </c>
      <c r="B131" t="str">
        <f>Sheet1!B131</f>
        <v>Carter LLC</v>
      </c>
      <c r="C131">
        <f>Sheet1!H131</f>
        <v>0.3</v>
      </c>
      <c r="D131" s="2">
        <f>Sheet1!I131/Sheet1!J131</f>
        <v>0.31612734095380057</v>
      </c>
      <c r="E131" s="2">
        <f>Sheet1!G131</f>
        <v>3.24</v>
      </c>
    </row>
    <row r="132" spans="1:5">
      <c r="A132" t="str">
        <f>Sheet1!A132</f>
        <v>C131</v>
      </c>
      <c r="B132" t="str">
        <f>Sheet1!B132</f>
        <v>Hanna Inc</v>
      </c>
      <c r="C132">
        <f>Sheet1!H132</f>
        <v>1.1499999999999999</v>
      </c>
      <c r="D132" s="2">
        <f>Sheet1!I132/Sheet1!J132</f>
        <v>0.12521739329160297</v>
      </c>
      <c r="E132" s="2">
        <f>Sheet1!G132</f>
        <v>23.62</v>
      </c>
    </row>
    <row r="133" spans="1:5">
      <c r="A133" t="str">
        <f>Sheet1!A133</f>
        <v>C132</v>
      </c>
      <c r="B133" t="str">
        <f>Sheet1!B133</f>
        <v>Cervantes-Williams</v>
      </c>
      <c r="C133">
        <f>Sheet1!H133</f>
        <v>0.51</v>
      </c>
      <c r="D133" s="2">
        <f>Sheet1!I133/Sheet1!J133</f>
        <v>0.74327797408716134</v>
      </c>
      <c r="E133" s="2">
        <f>Sheet1!G133</f>
        <v>13.4</v>
      </c>
    </row>
    <row r="134" spans="1:5">
      <c r="A134" t="str">
        <f>Sheet1!A134</f>
        <v>C133</v>
      </c>
      <c r="B134" t="str">
        <f>Sheet1!B134</f>
        <v>Collins-Beck</v>
      </c>
      <c r="C134">
        <f>Sheet1!H134</f>
        <v>0.24</v>
      </c>
      <c r="D134" s="2">
        <f>Sheet1!I134/Sheet1!J134</f>
        <v>0.59539399192783815</v>
      </c>
      <c r="E134" s="2">
        <f>Sheet1!G134</f>
        <v>13.88</v>
      </c>
    </row>
    <row r="135" spans="1:5">
      <c r="A135" t="str">
        <f>Sheet1!A135</f>
        <v>C134</v>
      </c>
      <c r="B135" t="str">
        <f>Sheet1!B135</f>
        <v>Jones-Potter</v>
      </c>
      <c r="C135">
        <f>Sheet1!H135</f>
        <v>0.52</v>
      </c>
      <c r="D135" s="2">
        <f>Sheet1!I135/Sheet1!J135</f>
        <v>0.52693581026499048</v>
      </c>
      <c r="E135" s="2">
        <f>Sheet1!G135</f>
        <v>6.15</v>
      </c>
    </row>
    <row r="136" spans="1:5">
      <c r="A136" t="str">
        <f>Sheet1!A136</f>
        <v>C135</v>
      </c>
      <c r="B136" t="str">
        <f>Sheet1!B136</f>
        <v>Anderson, Reilly and Velasquez</v>
      </c>
      <c r="C136">
        <f>Sheet1!H136</f>
        <v>0.49</v>
      </c>
      <c r="D136" s="2">
        <f>Sheet1!I136/Sheet1!J136</f>
        <v>0.44221367324488225</v>
      </c>
      <c r="E136" s="2">
        <f>Sheet1!G136</f>
        <v>12.66</v>
      </c>
    </row>
    <row r="137" spans="1:5">
      <c r="A137" t="str">
        <f>Sheet1!A137</f>
        <v>C136</v>
      </c>
      <c r="B137" t="str">
        <f>Sheet1!B137</f>
        <v>Fitzpatrick, Ramirez and Mayer</v>
      </c>
      <c r="C137">
        <f>Sheet1!H137</f>
        <v>1.19</v>
      </c>
      <c r="D137" s="2">
        <f>Sheet1!I137/Sheet1!J137</f>
        <v>0.23425387926229441</v>
      </c>
      <c r="E137" s="2">
        <f>Sheet1!G137</f>
        <v>6.19</v>
      </c>
    </row>
    <row r="138" spans="1:5">
      <c r="A138" t="str">
        <f>Sheet1!A138</f>
        <v>C137</v>
      </c>
      <c r="B138" t="str">
        <f>Sheet1!B138</f>
        <v>Brown Inc</v>
      </c>
      <c r="C138">
        <f>Sheet1!H138</f>
        <v>0.11</v>
      </c>
      <c r="D138" s="2">
        <f>Sheet1!I138/Sheet1!J138</f>
        <v>3.4742400303355874</v>
      </c>
      <c r="E138" s="2">
        <f>Sheet1!G138</f>
        <v>2.84</v>
      </c>
    </row>
    <row r="139" spans="1:5">
      <c r="A139" t="str">
        <f>Sheet1!A139</f>
        <v>C138</v>
      </c>
      <c r="B139" t="str">
        <f>Sheet1!B139</f>
        <v>Reynolds-Peters</v>
      </c>
      <c r="C139">
        <f>Sheet1!H139</f>
        <v>0.8</v>
      </c>
      <c r="D139" s="2">
        <f>Sheet1!I139/Sheet1!J139</f>
        <v>0.23802160302128175</v>
      </c>
      <c r="E139" s="2">
        <f>Sheet1!G139</f>
        <v>8.77</v>
      </c>
    </row>
    <row r="140" spans="1:5">
      <c r="A140" t="str">
        <f>Sheet1!A140</f>
        <v>C139</v>
      </c>
      <c r="B140" t="str">
        <f>Sheet1!B140</f>
        <v>Washington, Parker and Cox</v>
      </c>
      <c r="C140">
        <f>Sheet1!H140</f>
        <v>0.86</v>
      </c>
      <c r="D140" s="2">
        <f>Sheet1!I140/Sheet1!J140</f>
        <v>3.8210218959115059</v>
      </c>
      <c r="E140" s="2">
        <f>Sheet1!G140</f>
        <v>4.67</v>
      </c>
    </row>
    <row r="141" spans="1:5">
      <c r="A141" t="str">
        <f>Sheet1!A141</f>
        <v>C140</v>
      </c>
      <c r="B141" t="str">
        <f>Sheet1!B141</f>
        <v>Sanchez, Brown and Craig</v>
      </c>
      <c r="C141">
        <f>Sheet1!H141</f>
        <v>0.28999999999999998</v>
      </c>
      <c r="D141" s="2">
        <f>Sheet1!I141/Sheet1!J141</f>
        <v>2.1649202345133722</v>
      </c>
      <c r="E141" s="2">
        <f>Sheet1!G141</f>
        <v>6.08</v>
      </c>
    </row>
    <row r="142" spans="1:5">
      <c r="A142" t="str">
        <f>Sheet1!A142</f>
        <v>C141</v>
      </c>
      <c r="B142" t="str">
        <f>Sheet1!B142</f>
        <v>Ashley, Faulkner and Castaneda</v>
      </c>
      <c r="C142">
        <f>Sheet1!H142</f>
        <v>0.38</v>
      </c>
      <c r="D142" s="2">
        <f>Sheet1!I142/Sheet1!J142</f>
        <v>-0.14854652044352154</v>
      </c>
      <c r="E142" s="2">
        <f>Sheet1!G142</f>
        <v>12.28</v>
      </c>
    </row>
    <row r="143" spans="1:5">
      <c r="A143" t="str">
        <f>Sheet1!A143</f>
        <v>C142</v>
      </c>
      <c r="B143" t="str">
        <f>Sheet1!B143</f>
        <v>Francis-Reynolds</v>
      </c>
      <c r="C143">
        <f>Sheet1!H143</f>
        <v>0.92</v>
      </c>
      <c r="D143" s="2">
        <f>Sheet1!I143/Sheet1!J143</f>
        <v>3.4386936493970293</v>
      </c>
      <c r="E143" s="2">
        <f>Sheet1!G143</f>
        <v>12.67</v>
      </c>
    </row>
    <row r="144" spans="1:5">
      <c r="A144" t="str">
        <f>Sheet1!A144</f>
        <v>C143</v>
      </c>
      <c r="B144" t="str">
        <f>Sheet1!B144</f>
        <v>Rogers, George and Matthews</v>
      </c>
      <c r="C144">
        <f>Sheet1!H144</f>
        <v>1</v>
      </c>
      <c r="D144" s="2">
        <f>Sheet1!I144/Sheet1!J144</f>
        <v>2.3326169605794984</v>
      </c>
      <c r="E144" s="2">
        <f>Sheet1!G144</f>
        <v>5.31</v>
      </c>
    </row>
    <row r="145" spans="1:5">
      <c r="A145" t="str">
        <f>Sheet1!A145</f>
        <v>C144</v>
      </c>
      <c r="B145" t="str">
        <f>Sheet1!B145</f>
        <v>Howard, Callahan and Johnson</v>
      </c>
      <c r="C145">
        <f>Sheet1!H145</f>
        <v>0.69</v>
      </c>
      <c r="D145" s="2">
        <f>Sheet1!I145/Sheet1!J145</f>
        <v>1.0532848357997824</v>
      </c>
      <c r="E145" s="2">
        <f>Sheet1!G145</f>
        <v>24</v>
      </c>
    </row>
    <row r="146" spans="1:5">
      <c r="A146" t="str">
        <f>Sheet1!A146</f>
        <v>C145</v>
      </c>
      <c r="B146" t="str">
        <f>Sheet1!B146</f>
        <v>Harrison-Gonzalez</v>
      </c>
      <c r="C146">
        <f>Sheet1!H146</f>
        <v>0.82</v>
      </c>
      <c r="D146" s="2">
        <f>Sheet1!I146/Sheet1!J146</f>
        <v>1.2124384562110433</v>
      </c>
      <c r="E146" s="2">
        <f>Sheet1!G146</f>
        <v>3.63</v>
      </c>
    </row>
    <row r="147" spans="1:5">
      <c r="A147" t="str">
        <f>Sheet1!A147</f>
        <v>C146</v>
      </c>
      <c r="B147" t="str">
        <f>Sheet1!B147</f>
        <v>Sherman, Richard and Maynard</v>
      </c>
      <c r="C147">
        <f>Sheet1!H147</f>
        <v>1.0900000000000001</v>
      </c>
      <c r="D147" s="2">
        <f>Sheet1!I147/Sheet1!J147</f>
        <v>0.37968643033504501</v>
      </c>
      <c r="E147" s="2">
        <f>Sheet1!G147</f>
        <v>2.67</v>
      </c>
    </row>
    <row r="148" spans="1:5">
      <c r="A148" t="str">
        <f>Sheet1!A148</f>
        <v>C147</v>
      </c>
      <c r="B148" t="str">
        <f>Sheet1!B148</f>
        <v>House-Green</v>
      </c>
      <c r="C148">
        <f>Sheet1!H148</f>
        <v>1.01</v>
      </c>
      <c r="D148" s="2">
        <f>Sheet1!I148/Sheet1!J148</f>
        <v>0.48936433902656284</v>
      </c>
      <c r="E148" s="2">
        <f>Sheet1!G148</f>
        <v>18.63</v>
      </c>
    </row>
    <row r="149" spans="1:5">
      <c r="A149" t="str">
        <f>Sheet1!A149</f>
        <v>C148</v>
      </c>
      <c r="B149" t="str">
        <f>Sheet1!B149</f>
        <v>Holland, Smith and Sanders</v>
      </c>
      <c r="C149">
        <f>Sheet1!H149</f>
        <v>0.22</v>
      </c>
      <c r="D149" s="2">
        <f>Sheet1!I149/Sheet1!J149</f>
        <v>1.3018970491230022</v>
      </c>
      <c r="E149" s="2">
        <f>Sheet1!G149</f>
        <v>9.34</v>
      </c>
    </row>
    <row r="150" spans="1:5">
      <c r="A150" t="str">
        <f>Sheet1!A150</f>
        <v>C149</v>
      </c>
      <c r="B150" t="str">
        <f>Sheet1!B150</f>
        <v>Petersen-Brown</v>
      </c>
      <c r="C150">
        <f>Sheet1!H150</f>
        <v>0.15</v>
      </c>
      <c r="D150" s="2">
        <f>Sheet1!I150/Sheet1!J150</f>
        <v>2.4142024510419513</v>
      </c>
      <c r="E150" s="2">
        <f>Sheet1!G150</f>
        <v>6.65</v>
      </c>
    </row>
    <row r="151" spans="1:5">
      <c r="A151" t="str">
        <f>Sheet1!A151</f>
        <v>C150</v>
      </c>
      <c r="B151" t="str">
        <f>Sheet1!B151</f>
        <v>Bishop LLC</v>
      </c>
      <c r="C151">
        <f>Sheet1!H151</f>
        <v>0.98</v>
      </c>
      <c r="D151" s="2">
        <f>Sheet1!I151/Sheet1!J151</f>
        <v>1.0483256739985478</v>
      </c>
      <c r="E151" s="2">
        <f>Sheet1!G151</f>
        <v>21.76</v>
      </c>
    </row>
    <row r="152" spans="1:5">
      <c r="A152" t="str">
        <f>Sheet1!A152</f>
        <v>C151</v>
      </c>
      <c r="B152" t="str">
        <f>Sheet1!B152</f>
        <v>Jensen-Rocha</v>
      </c>
      <c r="C152">
        <f>Sheet1!H152</f>
        <v>0.23</v>
      </c>
      <c r="D152" s="2">
        <f>Sheet1!I152/Sheet1!J152</f>
        <v>1.1354102044877272</v>
      </c>
      <c r="E152" s="2">
        <f>Sheet1!G152</f>
        <v>8.98</v>
      </c>
    </row>
    <row r="153" spans="1:5">
      <c r="A153" t="str">
        <f>Sheet1!A153</f>
        <v>C152</v>
      </c>
      <c r="B153" t="str">
        <f>Sheet1!B153</f>
        <v>Mccarty, Underwood and Nash</v>
      </c>
      <c r="C153">
        <f>Sheet1!H153</f>
        <v>1</v>
      </c>
      <c r="D153" s="2">
        <f>Sheet1!I153/Sheet1!J153</f>
        <v>0.53708723440817296</v>
      </c>
      <c r="E153" s="2">
        <f>Sheet1!G153</f>
        <v>4.55</v>
      </c>
    </row>
    <row r="154" spans="1:5">
      <c r="A154" t="str">
        <f>Sheet1!A154</f>
        <v>C153</v>
      </c>
      <c r="B154" t="str">
        <f>Sheet1!B154</f>
        <v>Martin, Love and Nelson</v>
      </c>
      <c r="C154">
        <f>Sheet1!H154</f>
        <v>0.32</v>
      </c>
      <c r="D154" s="2">
        <f>Sheet1!I154/Sheet1!J154</f>
        <v>3.6520971737203718</v>
      </c>
      <c r="E154" s="2">
        <f>Sheet1!G154</f>
        <v>15.45</v>
      </c>
    </row>
    <row r="155" spans="1:5">
      <c r="A155" t="str">
        <f>Sheet1!A155</f>
        <v>C154</v>
      </c>
      <c r="B155" t="str">
        <f>Sheet1!B155</f>
        <v>Ray, Anderson and Smith</v>
      </c>
      <c r="C155">
        <f>Sheet1!H155</f>
        <v>0.98</v>
      </c>
      <c r="D155" s="2">
        <f>Sheet1!I155/Sheet1!J155</f>
        <v>0.51496756738006866</v>
      </c>
      <c r="E155" s="2">
        <f>Sheet1!G155</f>
        <v>11.19</v>
      </c>
    </row>
    <row r="156" spans="1:5">
      <c r="A156" t="str">
        <f>Sheet1!A156</f>
        <v>C155</v>
      </c>
      <c r="B156" t="str">
        <f>Sheet1!B156</f>
        <v>Morris Ltd</v>
      </c>
      <c r="C156">
        <f>Sheet1!H156</f>
        <v>0.94</v>
      </c>
      <c r="D156" s="2">
        <f>Sheet1!I156/Sheet1!J156</f>
        <v>1.2910483220211935</v>
      </c>
      <c r="E156" s="2">
        <f>Sheet1!G156</f>
        <v>17.03</v>
      </c>
    </row>
    <row r="157" spans="1:5">
      <c r="A157" t="str">
        <f>Sheet1!A157</f>
        <v>C156</v>
      </c>
      <c r="B157" t="str">
        <f>Sheet1!B157</f>
        <v>Adams PLC</v>
      </c>
      <c r="C157">
        <f>Sheet1!H157</f>
        <v>0.42</v>
      </c>
      <c r="D157" s="2">
        <f>Sheet1!I157/Sheet1!J157</f>
        <v>1.2882846941014543</v>
      </c>
      <c r="E157" s="2">
        <f>Sheet1!G157</f>
        <v>23.68</v>
      </c>
    </row>
    <row r="158" spans="1:5">
      <c r="A158" t="str">
        <f>Sheet1!A158</f>
        <v>C157</v>
      </c>
      <c r="B158" t="str">
        <f>Sheet1!B158</f>
        <v>Wilkins, Walsh and Paul</v>
      </c>
      <c r="C158">
        <f>Sheet1!H158</f>
        <v>0.9</v>
      </c>
      <c r="D158" s="2">
        <f>Sheet1!I158/Sheet1!J158</f>
        <v>3.2230793476112379E-2</v>
      </c>
      <c r="E158" s="2">
        <f>Sheet1!G158</f>
        <v>23.72</v>
      </c>
    </row>
    <row r="159" spans="1:5">
      <c r="A159" t="str">
        <f>Sheet1!A159</f>
        <v>C158</v>
      </c>
      <c r="B159" t="str">
        <f>Sheet1!B159</f>
        <v>Cook-Bennett</v>
      </c>
      <c r="C159">
        <f>Sheet1!H159</f>
        <v>0.96</v>
      </c>
      <c r="D159" s="2">
        <f>Sheet1!I159/Sheet1!J159</f>
        <v>3.8359122575909503</v>
      </c>
      <c r="E159" s="2">
        <f>Sheet1!G159</f>
        <v>7.21</v>
      </c>
    </row>
    <row r="160" spans="1:5">
      <c r="A160" t="str">
        <f>Sheet1!A160</f>
        <v>C159</v>
      </c>
      <c r="B160" t="str">
        <f>Sheet1!B160</f>
        <v>Ruiz Inc</v>
      </c>
      <c r="C160">
        <f>Sheet1!H160</f>
        <v>0.77</v>
      </c>
      <c r="D160" s="2">
        <f>Sheet1!I160/Sheet1!J160</f>
        <v>-4.3335640554936954E-3</v>
      </c>
      <c r="E160" s="2">
        <f>Sheet1!G160</f>
        <v>19.97</v>
      </c>
    </row>
    <row r="161" spans="1:5">
      <c r="A161" t="str">
        <f>Sheet1!A161</f>
        <v>C160</v>
      </c>
      <c r="B161" t="str">
        <f>Sheet1!B161</f>
        <v>Ray, Wright and Wood</v>
      </c>
      <c r="C161">
        <f>Sheet1!H161</f>
        <v>0.23</v>
      </c>
      <c r="D161" s="2">
        <f>Sheet1!I161/Sheet1!J161</f>
        <v>0.93981094432258272</v>
      </c>
      <c r="E161" s="2">
        <f>Sheet1!G161</f>
        <v>21.56</v>
      </c>
    </row>
    <row r="162" spans="1:5">
      <c r="A162" t="str">
        <f>Sheet1!A162</f>
        <v>C161</v>
      </c>
      <c r="B162" t="str">
        <f>Sheet1!B162</f>
        <v>Smith-Shannon</v>
      </c>
      <c r="C162">
        <f>Sheet1!H162</f>
        <v>0.49</v>
      </c>
      <c r="D162" s="2">
        <f>Sheet1!I162/Sheet1!J162</f>
        <v>0.38881872318807859</v>
      </c>
      <c r="E162" s="2">
        <f>Sheet1!G162</f>
        <v>18.149999999999999</v>
      </c>
    </row>
    <row r="163" spans="1:5">
      <c r="A163" t="str">
        <f>Sheet1!A163</f>
        <v>C162</v>
      </c>
      <c r="B163" t="str">
        <f>Sheet1!B163</f>
        <v>Nash-Owen</v>
      </c>
      <c r="C163">
        <f>Sheet1!H163</f>
        <v>1.2</v>
      </c>
      <c r="D163" s="2">
        <f>Sheet1!I163/Sheet1!J163</f>
        <v>0.91189871598044492</v>
      </c>
      <c r="E163" s="2">
        <f>Sheet1!G163</f>
        <v>15.95</v>
      </c>
    </row>
    <row r="164" spans="1:5">
      <c r="A164" t="str">
        <f>Sheet1!A164</f>
        <v>C163</v>
      </c>
      <c r="B164" t="str">
        <f>Sheet1!B164</f>
        <v>Johnson-Hoffman</v>
      </c>
      <c r="C164">
        <f>Sheet1!H164</f>
        <v>0.77</v>
      </c>
      <c r="D164" s="2">
        <f>Sheet1!I164/Sheet1!J164</f>
        <v>1.2209632620651953</v>
      </c>
      <c r="E164" s="2">
        <f>Sheet1!G164</f>
        <v>21.37</v>
      </c>
    </row>
    <row r="165" spans="1:5">
      <c r="A165" t="str">
        <f>Sheet1!A165</f>
        <v>C164</v>
      </c>
      <c r="B165" t="str">
        <f>Sheet1!B165</f>
        <v>Ruiz, Williams and Jackson</v>
      </c>
      <c r="C165">
        <f>Sheet1!H165</f>
        <v>0.97</v>
      </c>
      <c r="D165" s="2">
        <f>Sheet1!I165/Sheet1!J165</f>
        <v>1.8736539264142908</v>
      </c>
      <c r="E165" s="2">
        <f>Sheet1!G165</f>
        <v>18.03</v>
      </c>
    </row>
    <row r="166" spans="1:5">
      <c r="A166" t="str">
        <f>Sheet1!A166</f>
        <v>C165</v>
      </c>
      <c r="B166" t="str">
        <f>Sheet1!B166</f>
        <v>Vargas, Kelly and Washington</v>
      </c>
      <c r="C166">
        <f>Sheet1!H166</f>
        <v>0.1</v>
      </c>
      <c r="D166" s="2">
        <f>Sheet1!I166/Sheet1!J166</f>
        <v>1.0293270287677942</v>
      </c>
      <c r="E166" s="2">
        <f>Sheet1!G166</f>
        <v>22.84</v>
      </c>
    </row>
    <row r="167" spans="1:5">
      <c r="A167" t="str">
        <f>Sheet1!A167</f>
        <v>C166</v>
      </c>
      <c r="B167" t="str">
        <f>Sheet1!B167</f>
        <v>Clark, Sullivan and Bird</v>
      </c>
      <c r="C167">
        <f>Sheet1!H167</f>
        <v>0.64</v>
      </c>
      <c r="D167" s="2">
        <f>Sheet1!I167/Sheet1!J167</f>
        <v>0.26862813370473537</v>
      </c>
      <c r="E167" s="2">
        <f>Sheet1!G167</f>
        <v>5.91</v>
      </c>
    </row>
    <row r="168" spans="1:5">
      <c r="A168" t="str">
        <f>Sheet1!A168</f>
        <v>C167</v>
      </c>
      <c r="B168" t="str">
        <f>Sheet1!B168</f>
        <v>Bell Inc</v>
      </c>
      <c r="C168">
        <f>Sheet1!H168</f>
        <v>1.19</v>
      </c>
      <c r="D168" s="2">
        <f>Sheet1!I168/Sheet1!J168</f>
        <v>3.5135571765797065</v>
      </c>
      <c r="E168" s="2">
        <f>Sheet1!G168</f>
        <v>22.45</v>
      </c>
    </row>
    <row r="169" spans="1:5">
      <c r="A169" t="str">
        <f>Sheet1!A169</f>
        <v>C168</v>
      </c>
      <c r="B169" t="str">
        <f>Sheet1!B169</f>
        <v>Williams and Sons</v>
      </c>
      <c r="C169">
        <f>Sheet1!H169</f>
        <v>0.71</v>
      </c>
      <c r="D169" s="2">
        <f>Sheet1!I169/Sheet1!J169</f>
        <v>2.6457026221808975</v>
      </c>
      <c r="E169" s="2">
        <f>Sheet1!G169</f>
        <v>8.3000000000000007</v>
      </c>
    </row>
    <row r="170" spans="1:5">
      <c r="A170" t="str">
        <f>Sheet1!A170</f>
        <v>C169</v>
      </c>
      <c r="B170" t="str">
        <f>Sheet1!B170</f>
        <v>Mendoza LLC</v>
      </c>
      <c r="C170">
        <f>Sheet1!H170</f>
        <v>0.92</v>
      </c>
      <c r="D170" s="2">
        <f>Sheet1!I170/Sheet1!J170</f>
        <v>-0.16837148286321954</v>
      </c>
      <c r="E170" s="2">
        <f>Sheet1!G170</f>
        <v>23.33</v>
      </c>
    </row>
    <row r="171" spans="1:5">
      <c r="A171" t="str">
        <f>Sheet1!A171</f>
        <v>C170</v>
      </c>
      <c r="B171" t="str">
        <f>Sheet1!B171</f>
        <v>Ramirez Ltd</v>
      </c>
      <c r="C171">
        <f>Sheet1!H171</f>
        <v>0.64</v>
      </c>
      <c r="D171" s="2">
        <f>Sheet1!I171/Sheet1!J171</f>
        <v>1.0618179953069102</v>
      </c>
      <c r="E171" s="2">
        <f>Sheet1!G171</f>
        <v>9.51</v>
      </c>
    </row>
    <row r="172" spans="1:5">
      <c r="A172" t="str">
        <f>Sheet1!A172</f>
        <v>C171</v>
      </c>
      <c r="B172" t="str">
        <f>Sheet1!B172</f>
        <v>Terrell Inc</v>
      </c>
      <c r="C172">
        <f>Sheet1!H172</f>
        <v>0.59</v>
      </c>
      <c r="D172" s="2">
        <f>Sheet1!I172/Sheet1!J172</f>
        <v>-2.7488670580005474E-2</v>
      </c>
      <c r="E172" s="2">
        <f>Sheet1!G172</f>
        <v>18.8</v>
      </c>
    </row>
    <row r="173" spans="1:5">
      <c r="A173" t="str">
        <f>Sheet1!A173</f>
        <v>C172</v>
      </c>
      <c r="B173" t="str">
        <f>Sheet1!B173</f>
        <v>Gordon-Spence</v>
      </c>
      <c r="C173">
        <f>Sheet1!H173</f>
        <v>0.94</v>
      </c>
      <c r="D173" s="2">
        <f>Sheet1!I173/Sheet1!J173</f>
        <v>1.5158771949907277</v>
      </c>
      <c r="E173" s="2">
        <f>Sheet1!G173</f>
        <v>8.6300000000000008</v>
      </c>
    </row>
    <row r="174" spans="1:5">
      <c r="A174" t="str">
        <f>Sheet1!A174</f>
        <v>C173</v>
      </c>
      <c r="B174" t="str">
        <f>Sheet1!B174</f>
        <v>Paul PLC</v>
      </c>
      <c r="C174">
        <f>Sheet1!H174</f>
        <v>0.94</v>
      </c>
      <c r="D174" s="2">
        <f>Sheet1!I174/Sheet1!J174</f>
        <v>1.0861151588112854</v>
      </c>
      <c r="E174" s="2">
        <f>Sheet1!G174</f>
        <v>21.11</v>
      </c>
    </row>
    <row r="175" spans="1:5">
      <c r="A175" t="str">
        <f>Sheet1!A175</f>
        <v>C174</v>
      </c>
      <c r="B175" t="str">
        <f>Sheet1!B175</f>
        <v>Kane-Castaneda</v>
      </c>
      <c r="C175">
        <f>Sheet1!H175</f>
        <v>0.75</v>
      </c>
      <c r="D175" s="2">
        <f>Sheet1!I175/Sheet1!J175</f>
        <v>1.9522589724832877</v>
      </c>
      <c r="E175" s="2">
        <f>Sheet1!G175</f>
        <v>9.42</v>
      </c>
    </row>
    <row r="176" spans="1:5">
      <c r="A176" t="str">
        <f>Sheet1!A176</f>
        <v>C175</v>
      </c>
      <c r="B176" t="str">
        <f>Sheet1!B176</f>
        <v>Jones Inc</v>
      </c>
      <c r="C176">
        <f>Sheet1!H176</f>
        <v>0.95</v>
      </c>
      <c r="D176" s="2">
        <f>Sheet1!I176/Sheet1!J176</f>
        <v>1.5897555324310859</v>
      </c>
      <c r="E176" s="2">
        <f>Sheet1!G176</f>
        <v>4.05</v>
      </c>
    </row>
    <row r="177" spans="1:5">
      <c r="A177" t="str">
        <f>Sheet1!A177</f>
        <v>C176</v>
      </c>
      <c r="B177" t="str">
        <f>Sheet1!B177</f>
        <v>Mendez-Williams</v>
      </c>
      <c r="C177">
        <f>Sheet1!H177</f>
        <v>0.54</v>
      </c>
      <c r="D177" s="2">
        <f>Sheet1!I177/Sheet1!J177</f>
        <v>0.93772057067548797</v>
      </c>
      <c r="E177" s="2">
        <f>Sheet1!G177</f>
        <v>3.45</v>
      </c>
    </row>
    <row r="178" spans="1:5">
      <c r="A178" t="str">
        <f>Sheet1!A178</f>
        <v>C177</v>
      </c>
      <c r="B178" t="str">
        <f>Sheet1!B178</f>
        <v>Coleman-Barber</v>
      </c>
      <c r="C178">
        <f>Sheet1!H178</f>
        <v>0.34</v>
      </c>
      <c r="D178" s="2">
        <f>Sheet1!I178/Sheet1!J178</f>
        <v>-2.451660139999778E-2</v>
      </c>
      <c r="E178" s="2">
        <f>Sheet1!G178</f>
        <v>22.12</v>
      </c>
    </row>
    <row r="179" spans="1:5">
      <c r="A179" t="str">
        <f>Sheet1!A179</f>
        <v>C178</v>
      </c>
      <c r="B179" t="str">
        <f>Sheet1!B179</f>
        <v>Harvey-Baker</v>
      </c>
      <c r="C179">
        <f>Sheet1!H179</f>
        <v>0.44</v>
      </c>
      <c r="D179" s="2">
        <f>Sheet1!I179/Sheet1!J179</f>
        <v>1.3934999853471266</v>
      </c>
      <c r="E179" s="2">
        <f>Sheet1!G179</f>
        <v>10.96</v>
      </c>
    </row>
    <row r="180" spans="1:5">
      <c r="A180" t="str">
        <f>Sheet1!A180</f>
        <v>C179</v>
      </c>
      <c r="B180" t="str">
        <f>Sheet1!B180</f>
        <v>Baker, Wood and Richard</v>
      </c>
      <c r="C180">
        <f>Sheet1!H180</f>
        <v>0.19</v>
      </c>
      <c r="D180" s="2">
        <f>Sheet1!I180/Sheet1!J180</f>
        <v>4.2804391825985171</v>
      </c>
      <c r="E180" s="2">
        <f>Sheet1!G180</f>
        <v>23.08</v>
      </c>
    </row>
    <row r="181" spans="1:5">
      <c r="A181" t="str">
        <f>Sheet1!A181</f>
        <v>C180</v>
      </c>
      <c r="B181" t="str">
        <f>Sheet1!B181</f>
        <v>Duran Ltd</v>
      </c>
      <c r="C181">
        <f>Sheet1!H181</f>
        <v>1.17</v>
      </c>
      <c r="D181" s="2">
        <f>Sheet1!I181/Sheet1!J181</f>
        <v>1.8745247946351971</v>
      </c>
      <c r="E181" s="2">
        <f>Sheet1!G181</f>
        <v>4.33</v>
      </c>
    </row>
    <row r="182" spans="1:5">
      <c r="A182" t="str">
        <f>Sheet1!A182</f>
        <v>C181</v>
      </c>
      <c r="B182" t="str">
        <f>Sheet1!B182</f>
        <v>Murray, Wright and Jensen</v>
      </c>
      <c r="C182">
        <f>Sheet1!H182</f>
        <v>0.92</v>
      </c>
      <c r="D182" s="2">
        <f>Sheet1!I182/Sheet1!J182</f>
        <v>0.44592892449770805</v>
      </c>
      <c r="E182" s="2">
        <f>Sheet1!G182</f>
        <v>24.89</v>
      </c>
    </row>
    <row r="183" spans="1:5">
      <c r="A183" t="str">
        <f>Sheet1!A183</f>
        <v>C182</v>
      </c>
      <c r="B183" t="str">
        <f>Sheet1!B183</f>
        <v>Davis and Sons</v>
      </c>
      <c r="C183">
        <f>Sheet1!H183</f>
        <v>0.28000000000000003</v>
      </c>
      <c r="D183" s="2">
        <f>Sheet1!I183/Sheet1!J183</f>
        <v>1.0732461135535414</v>
      </c>
      <c r="E183" s="2">
        <f>Sheet1!G183</f>
        <v>18.309999999999999</v>
      </c>
    </row>
    <row r="184" spans="1:5">
      <c r="A184" t="str">
        <f>Sheet1!A184</f>
        <v>C183</v>
      </c>
      <c r="B184" t="str">
        <f>Sheet1!B184</f>
        <v>Conley, Wood and Cruz</v>
      </c>
      <c r="C184">
        <f>Sheet1!H184</f>
        <v>0.42</v>
      </c>
      <c r="D184" s="2">
        <f>Sheet1!I184/Sheet1!J184</f>
        <v>0.24488825583402565</v>
      </c>
      <c r="E184" s="2">
        <f>Sheet1!G184</f>
        <v>17.52</v>
      </c>
    </row>
    <row r="185" spans="1:5">
      <c r="A185" t="str">
        <f>Sheet1!A185</f>
        <v>C184</v>
      </c>
      <c r="B185" t="str">
        <f>Sheet1!B185</f>
        <v>Gomez LLC</v>
      </c>
      <c r="C185">
        <f>Sheet1!H185</f>
        <v>1.2</v>
      </c>
      <c r="D185" s="2">
        <f>Sheet1!I185/Sheet1!J185</f>
        <v>1.357092423308534</v>
      </c>
      <c r="E185" s="2">
        <f>Sheet1!G185</f>
        <v>21.29</v>
      </c>
    </row>
    <row r="186" spans="1:5">
      <c r="A186" t="str">
        <f>Sheet1!A186</f>
        <v>C185</v>
      </c>
      <c r="B186" t="str">
        <f>Sheet1!B186</f>
        <v>Brooks-Porter</v>
      </c>
      <c r="C186">
        <f>Sheet1!H186</f>
        <v>1.05</v>
      </c>
      <c r="D186" s="2">
        <f>Sheet1!I186/Sheet1!J186</f>
        <v>0.82094671534357944</v>
      </c>
      <c r="E186" s="2">
        <f>Sheet1!G186</f>
        <v>15.44</v>
      </c>
    </row>
    <row r="187" spans="1:5">
      <c r="A187" t="str">
        <f>Sheet1!A187</f>
        <v>C186</v>
      </c>
      <c r="B187" t="str">
        <f>Sheet1!B187</f>
        <v>Parker-Norris</v>
      </c>
      <c r="C187">
        <f>Sheet1!H187</f>
        <v>0.86</v>
      </c>
      <c r="D187" s="2">
        <f>Sheet1!I187/Sheet1!J187</f>
        <v>0.1874606992723406</v>
      </c>
      <c r="E187" s="2">
        <f>Sheet1!G187</f>
        <v>8.57</v>
      </c>
    </row>
    <row r="188" spans="1:5">
      <c r="A188" t="str">
        <f>Sheet1!A188</f>
        <v>C187</v>
      </c>
      <c r="B188" t="str">
        <f>Sheet1!B188</f>
        <v>Walter, Rosales and Morales</v>
      </c>
      <c r="C188">
        <f>Sheet1!H188</f>
        <v>0.91</v>
      </c>
      <c r="D188" s="2">
        <f>Sheet1!I188/Sheet1!J188</f>
        <v>0.80609318402228058</v>
      </c>
      <c r="E188" s="2">
        <f>Sheet1!G188</f>
        <v>14.85</v>
      </c>
    </row>
    <row r="189" spans="1:5">
      <c r="A189" t="str">
        <f>Sheet1!A189</f>
        <v>C188</v>
      </c>
      <c r="B189" t="str">
        <f>Sheet1!B189</f>
        <v>Palmer PLC</v>
      </c>
      <c r="C189">
        <f>Sheet1!H189</f>
        <v>1.1000000000000001</v>
      </c>
      <c r="D189" s="2">
        <f>Sheet1!I189/Sheet1!J189</f>
        <v>1.0849412500325666</v>
      </c>
      <c r="E189" s="2">
        <f>Sheet1!G189</f>
        <v>24.62</v>
      </c>
    </row>
    <row r="190" spans="1:5">
      <c r="A190" t="str">
        <f>Sheet1!A190</f>
        <v>C189</v>
      </c>
      <c r="B190" t="str">
        <f>Sheet1!B190</f>
        <v>Munoz Group</v>
      </c>
      <c r="C190">
        <f>Sheet1!H190</f>
        <v>0.48</v>
      </c>
      <c r="D190" s="2">
        <f>Sheet1!I190/Sheet1!J190</f>
        <v>0.92541131539038524</v>
      </c>
      <c r="E190" s="2">
        <f>Sheet1!G190</f>
        <v>12.38</v>
      </c>
    </row>
    <row r="191" spans="1:5">
      <c r="A191" t="str">
        <f>Sheet1!A191</f>
        <v>C190</v>
      </c>
      <c r="B191" t="str">
        <f>Sheet1!B191</f>
        <v>Whitaker-Meyer</v>
      </c>
      <c r="C191">
        <f>Sheet1!H191</f>
        <v>0.28999999999999998</v>
      </c>
      <c r="D191" s="2">
        <f>Sheet1!I191/Sheet1!J191</f>
        <v>2.3856753975367657</v>
      </c>
      <c r="E191" s="2">
        <f>Sheet1!G191</f>
        <v>3.38</v>
      </c>
    </row>
    <row r="192" spans="1:5">
      <c r="A192" t="str">
        <f>Sheet1!A192</f>
        <v>C191</v>
      </c>
      <c r="B192" t="str">
        <f>Sheet1!B192</f>
        <v>Williams LLC</v>
      </c>
      <c r="C192">
        <f>Sheet1!H192</f>
        <v>0.19</v>
      </c>
      <c r="D192" s="2">
        <f>Sheet1!I192/Sheet1!J192</f>
        <v>9.6509215304992312E-3</v>
      </c>
      <c r="E192" s="2">
        <f>Sheet1!G192</f>
        <v>18.440000000000001</v>
      </c>
    </row>
    <row r="193" spans="1:5">
      <c r="A193" t="str">
        <f>Sheet1!A193</f>
        <v>C192</v>
      </c>
      <c r="B193" t="str">
        <f>Sheet1!B193</f>
        <v>Estrada-Juarez</v>
      </c>
      <c r="C193">
        <f>Sheet1!H193</f>
        <v>0.46</v>
      </c>
      <c r="D193" s="2">
        <f>Sheet1!I193/Sheet1!J193</f>
        <v>0.38876008178679017</v>
      </c>
      <c r="E193" s="2">
        <f>Sheet1!G193</f>
        <v>3.02</v>
      </c>
    </row>
    <row r="194" spans="1:5">
      <c r="A194" t="str">
        <f>Sheet1!A194</f>
        <v>C193</v>
      </c>
      <c r="B194" t="str">
        <f>Sheet1!B194</f>
        <v>Kelly, Ruiz and Jones</v>
      </c>
      <c r="C194">
        <f>Sheet1!H194</f>
        <v>0.24</v>
      </c>
      <c r="D194" s="2">
        <f>Sheet1!I194/Sheet1!J194</f>
        <v>1.1011296592061026</v>
      </c>
      <c r="E194" s="2">
        <f>Sheet1!G194</f>
        <v>9.65</v>
      </c>
    </row>
    <row r="195" spans="1:5">
      <c r="A195" t="str">
        <f>Sheet1!A195</f>
        <v>C194</v>
      </c>
      <c r="B195" t="str">
        <f>Sheet1!B195</f>
        <v>Parker-Carter</v>
      </c>
      <c r="C195">
        <f>Sheet1!H195</f>
        <v>0.22</v>
      </c>
      <c r="D195" s="2">
        <f>Sheet1!I195/Sheet1!J195</f>
        <v>0.73369128259546312</v>
      </c>
      <c r="E195" s="2">
        <f>Sheet1!G195</f>
        <v>17.010000000000002</v>
      </c>
    </row>
    <row r="196" spans="1:5">
      <c r="A196" t="str">
        <f>Sheet1!A196</f>
        <v>C195</v>
      </c>
      <c r="B196" t="str">
        <f>Sheet1!B196</f>
        <v>Barton Inc</v>
      </c>
      <c r="C196">
        <f>Sheet1!H196</f>
        <v>0.63</v>
      </c>
      <c r="D196" s="2">
        <f>Sheet1!I196/Sheet1!J196</f>
        <v>7.1700282590273973E-2</v>
      </c>
      <c r="E196" s="2">
        <f>Sheet1!G196</f>
        <v>22.6</v>
      </c>
    </row>
    <row r="197" spans="1:5">
      <c r="A197" t="str">
        <f>Sheet1!A197</f>
        <v>C196</v>
      </c>
      <c r="B197" t="str">
        <f>Sheet1!B197</f>
        <v>Ramsey LLC</v>
      </c>
      <c r="C197">
        <f>Sheet1!H197</f>
        <v>0.61</v>
      </c>
      <c r="D197" s="2">
        <f>Sheet1!I197/Sheet1!J197</f>
        <v>1.1837692833848372</v>
      </c>
      <c r="E197" s="2">
        <f>Sheet1!G197</f>
        <v>10.79</v>
      </c>
    </row>
    <row r="198" spans="1:5">
      <c r="A198" t="str">
        <f>Sheet1!A198</f>
        <v>C197</v>
      </c>
      <c r="B198" t="str">
        <f>Sheet1!B198</f>
        <v>Peterson, Morse and Miller</v>
      </c>
      <c r="C198">
        <f>Sheet1!H198</f>
        <v>0.61</v>
      </c>
      <c r="D198" s="2">
        <f>Sheet1!I198/Sheet1!J198</f>
        <v>-3.5769248705871379E-2</v>
      </c>
      <c r="E198" s="2">
        <f>Sheet1!G198</f>
        <v>11.82</v>
      </c>
    </row>
    <row r="199" spans="1:5">
      <c r="A199" t="str">
        <f>Sheet1!A199</f>
        <v>C198</v>
      </c>
      <c r="B199" t="str">
        <f>Sheet1!B199</f>
        <v>Munoz-Kelly</v>
      </c>
      <c r="C199">
        <f>Sheet1!H199</f>
        <v>0.5</v>
      </c>
      <c r="D199" s="2">
        <f>Sheet1!I199/Sheet1!J199</f>
        <v>1.0497025392470904</v>
      </c>
      <c r="E199" s="2">
        <f>Sheet1!G199</f>
        <v>11.34</v>
      </c>
    </row>
    <row r="200" spans="1:5">
      <c r="A200" t="str">
        <f>Sheet1!A200</f>
        <v>C199</v>
      </c>
      <c r="B200" t="str">
        <f>Sheet1!B200</f>
        <v>Jordan-Stone</v>
      </c>
      <c r="C200">
        <f>Sheet1!H200</f>
        <v>0.67</v>
      </c>
      <c r="D200" s="2">
        <f>Sheet1!I200/Sheet1!J200</f>
        <v>-8.3697839971420357E-2</v>
      </c>
      <c r="E200" s="2">
        <f>Sheet1!G200</f>
        <v>14.26</v>
      </c>
    </row>
    <row r="201" spans="1:5">
      <c r="A201" t="str">
        <f>Sheet1!A201</f>
        <v>C200</v>
      </c>
      <c r="B201" t="str">
        <f>Sheet1!B201</f>
        <v>Crawford-White</v>
      </c>
      <c r="C201">
        <f>Sheet1!H201</f>
        <v>0.72</v>
      </c>
      <c r="D201" s="2">
        <f>Sheet1!I201/Sheet1!J201</f>
        <v>1.2091750775891297</v>
      </c>
      <c r="E201" s="2">
        <f>Sheet1!G201</f>
        <v>5.59</v>
      </c>
    </row>
    <row r="202" spans="1:5">
      <c r="A202" t="str">
        <f>Sheet1!A202</f>
        <v>C201</v>
      </c>
      <c r="B202" t="str">
        <f>Sheet1!B202</f>
        <v>Jensen LLC</v>
      </c>
      <c r="C202">
        <f>Sheet1!H202</f>
        <v>0.11</v>
      </c>
      <c r="D202" s="2">
        <f>Sheet1!I202/Sheet1!J202</f>
        <v>1.1225457096218017</v>
      </c>
      <c r="E202" s="2">
        <f>Sheet1!G202</f>
        <v>14.18</v>
      </c>
    </row>
    <row r="203" spans="1:5">
      <c r="A203" t="str">
        <f>Sheet1!A203</f>
        <v>C202</v>
      </c>
      <c r="B203" t="str">
        <f>Sheet1!B203</f>
        <v>Palmer-Johnson</v>
      </c>
      <c r="C203">
        <f>Sheet1!H203</f>
        <v>0.76</v>
      </c>
      <c r="D203" s="2">
        <f>Sheet1!I203/Sheet1!J203</f>
        <v>-8.5866545288663818E-2</v>
      </c>
      <c r="E203" s="2">
        <f>Sheet1!G203</f>
        <v>21.95</v>
      </c>
    </row>
    <row r="204" spans="1:5">
      <c r="A204" t="str">
        <f>Sheet1!A204</f>
        <v>C203</v>
      </c>
      <c r="B204" t="str">
        <f>Sheet1!B204</f>
        <v>Flores PLC</v>
      </c>
      <c r="C204">
        <f>Sheet1!H204</f>
        <v>1.1599999999999999</v>
      </c>
      <c r="D204" s="2">
        <f>Sheet1!I204/Sheet1!J204</f>
        <v>-0.31504757090502067</v>
      </c>
      <c r="E204" s="2">
        <f>Sheet1!G204</f>
        <v>10.18</v>
      </c>
    </row>
    <row r="205" spans="1:5">
      <c r="A205" t="str">
        <f>Sheet1!A205</f>
        <v>C204</v>
      </c>
      <c r="B205" t="str">
        <f>Sheet1!B205</f>
        <v>Bell PLC</v>
      </c>
      <c r="C205">
        <f>Sheet1!H205</f>
        <v>0.43</v>
      </c>
      <c r="D205" s="2">
        <f>Sheet1!I205/Sheet1!J205</f>
        <v>0.1692489412158682</v>
      </c>
      <c r="E205" s="2">
        <f>Sheet1!G205</f>
        <v>5.01</v>
      </c>
    </row>
    <row r="206" spans="1:5">
      <c r="A206" t="str">
        <f>Sheet1!A206</f>
        <v>C205</v>
      </c>
      <c r="B206" t="str">
        <f>Sheet1!B206</f>
        <v>Fletcher-Durham</v>
      </c>
      <c r="C206">
        <f>Sheet1!H206</f>
        <v>1.0900000000000001</v>
      </c>
      <c r="D206" s="2">
        <f>Sheet1!I206/Sheet1!J206</f>
        <v>1.6096752981912918</v>
      </c>
      <c r="E206" s="2">
        <f>Sheet1!G206</f>
        <v>16.82</v>
      </c>
    </row>
    <row r="207" spans="1:5">
      <c r="A207" t="str">
        <f>Sheet1!A207</f>
        <v>C206</v>
      </c>
      <c r="B207" t="str">
        <f>Sheet1!B207</f>
        <v>Miller-King</v>
      </c>
      <c r="C207">
        <f>Sheet1!H207</f>
        <v>0.79</v>
      </c>
      <c r="D207" s="2">
        <f>Sheet1!I207/Sheet1!J207</f>
        <v>0.97252053017983586</v>
      </c>
      <c r="E207" s="2">
        <f>Sheet1!G207</f>
        <v>15.01</v>
      </c>
    </row>
    <row r="208" spans="1:5">
      <c r="A208" t="str">
        <f>Sheet1!A208</f>
        <v>C207</v>
      </c>
      <c r="B208" t="str">
        <f>Sheet1!B208</f>
        <v>Alexander, Christensen and Johnson</v>
      </c>
      <c r="C208">
        <f>Sheet1!H208</f>
        <v>0.71</v>
      </c>
      <c r="D208" s="2">
        <f>Sheet1!I208/Sheet1!J208</f>
        <v>-0.12509511627329362</v>
      </c>
      <c r="E208" s="2">
        <f>Sheet1!G208</f>
        <v>10.52</v>
      </c>
    </row>
    <row r="209" spans="1:5">
      <c r="A209" t="str">
        <f>Sheet1!A209</f>
        <v>C208</v>
      </c>
      <c r="B209" t="str">
        <f>Sheet1!B209</f>
        <v>Miller, Thompson and Pope</v>
      </c>
      <c r="C209">
        <f>Sheet1!H209</f>
        <v>0.85</v>
      </c>
      <c r="D209" s="2">
        <f>Sheet1!I209/Sheet1!J209</f>
        <v>-4.97041230017954E-2</v>
      </c>
      <c r="E209" s="2">
        <f>Sheet1!G209</f>
        <v>9.4499999999999993</v>
      </c>
    </row>
    <row r="210" spans="1:5">
      <c r="A210" t="str">
        <f>Sheet1!A210</f>
        <v>C209</v>
      </c>
      <c r="B210" t="str">
        <f>Sheet1!B210</f>
        <v>Roberts Group</v>
      </c>
      <c r="C210">
        <f>Sheet1!H210</f>
        <v>0.95</v>
      </c>
      <c r="D210" s="2">
        <f>Sheet1!I210/Sheet1!J210</f>
        <v>0.98486617513382491</v>
      </c>
      <c r="E210" s="2">
        <f>Sheet1!G210</f>
        <v>9.83</v>
      </c>
    </row>
    <row r="211" spans="1:5">
      <c r="A211" t="str">
        <f>Sheet1!A211</f>
        <v>C210</v>
      </c>
      <c r="B211" t="str">
        <f>Sheet1!B211</f>
        <v>Petersen-Mccormick</v>
      </c>
      <c r="C211">
        <f>Sheet1!H211</f>
        <v>0.47</v>
      </c>
      <c r="D211" s="2">
        <f>Sheet1!I211/Sheet1!J211</f>
        <v>4.5058959957526472</v>
      </c>
      <c r="E211" s="2">
        <f>Sheet1!G211</f>
        <v>12.34</v>
      </c>
    </row>
    <row r="212" spans="1:5">
      <c r="A212" t="str">
        <f>Sheet1!A212</f>
        <v>C211</v>
      </c>
      <c r="B212" t="str">
        <f>Sheet1!B212</f>
        <v>Hood-Vang</v>
      </c>
      <c r="C212">
        <f>Sheet1!H212</f>
        <v>0.51</v>
      </c>
      <c r="D212" s="2">
        <f>Sheet1!I212/Sheet1!J212</f>
        <v>0.49814857912051774</v>
      </c>
      <c r="E212" s="2">
        <f>Sheet1!G212</f>
        <v>24.54</v>
      </c>
    </row>
    <row r="213" spans="1:5">
      <c r="A213" t="str">
        <f>Sheet1!A213</f>
        <v>C212</v>
      </c>
      <c r="B213" t="str">
        <f>Sheet1!B213</f>
        <v>Payne and Sons</v>
      </c>
      <c r="C213">
        <f>Sheet1!H213</f>
        <v>0.94</v>
      </c>
      <c r="D213" s="2">
        <f>Sheet1!I213/Sheet1!J213</f>
        <v>0.17010615081467043</v>
      </c>
      <c r="E213" s="2">
        <f>Sheet1!G213</f>
        <v>21.72</v>
      </c>
    </row>
    <row r="214" spans="1:5">
      <c r="A214" t="str">
        <f>Sheet1!A214</f>
        <v>C213</v>
      </c>
      <c r="B214" t="str">
        <f>Sheet1!B214</f>
        <v>Walters-Grant</v>
      </c>
      <c r="C214">
        <f>Sheet1!H214</f>
        <v>0.2</v>
      </c>
      <c r="D214" s="2">
        <f>Sheet1!I214/Sheet1!J214</f>
        <v>-3.1856956167274124E-2</v>
      </c>
      <c r="E214" s="2">
        <f>Sheet1!G214</f>
        <v>20.64</v>
      </c>
    </row>
    <row r="215" spans="1:5">
      <c r="A215" t="str">
        <f>Sheet1!A215</f>
        <v>C214</v>
      </c>
      <c r="B215" t="str">
        <f>Sheet1!B215</f>
        <v>Nelson, Johnson and Miller</v>
      </c>
      <c r="C215">
        <f>Sheet1!H215</f>
        <v>0.64</v>
      </c>
      <c r="D215" s="2">
        <f>Sheet1!I215/Sheet1!J215</f>
        <v>0.13603042993481021</v>
      </c>
      <c r="E215" s="2">
        <f>Sheet1!G215</f>
        <v>8.57</v>
      </c>
    </row>
    <row r="216" spans="1:5">
      <c r="A216" t="str">
        <f>Sheet1!A216</f>
        <v>C215</v>
      </c>
      <c r="B216" t="str">
        <f>Sheet1!B216</f>
        <v>Perez Inc</v>
      </c>
      <c r="C216">
        <f>Sheet1!H216</f>
        <v>0.64</v>
      </c>
      <c r="D216" s="2">
        <f>Sheet1!I216/Sheet1!J216</f>
        <v>1.0587834872914252</v>
      </c>
      <c r="E216" s="2">
        <f>Sheet1!G216</f>
        <v>7.13</v>
      </c>
    </row>
    <row r="217" spans="1:5">
      <c r="A217" t="str">
        <f>Sheet1!A217</f>
        <v>C216</v>
      </c>
      <c r="B217" t="str">
        <f>Sheet1!B217</f>
        <v>Gordon, Mcguire and Vasquez</v>
      </c>
      <c r="C217">
        <f>Sheet1!H217</f>
        <v>0.71</v>
      </c>
      <c r="D217" s="2">
        <f>Sheet1!I217/Sheet1!J217</f>
        <v>-9.135614597642773E-2</v>
      </c>
      <c r="E217" s="2">
        <f>Sheet1!G217</f>
        <v>12.62</v>
      </c>
    </row>
    <row r="218" spans="1:5">
      <c r="A218" t="str">
        <f>Sheet1!A218</f>
        <v>C217</v>
      </c>
      <c r="B218" t="str">
        <f>Sheet1!B218</f>
        <v>White-Tyler</v>
      </c>
      <c r="C218">
        <f>Sheet1!H218</f>
        <v>1.1399999999999999</v>
      </c>
      <c r="D218" s="2">
        <f>Sheet1!I218/Sheet1!J218</f>
        <v>0.69569852409546362</v>
      </c>
      <c r="E218" s="2">
        <f>Sheet1!G218</f>
        <v>23.14</v>
      </c>
    </row>
    <row r="219" spans="1:5">
      <c r="A219" t="str">
        <f>Sheet1!A219</f>
        <v>C218</v>
      </c>
      <c r="B219" t="str">
        <f>Sheet1!B219</f>
        <v>Turner, Summers and Lynch</v>
      </c>
      <c r="C219">
        <f>Sheet1!H219</f>
        <v>0.16</v>
      </c>
      <c r="D219" s="2">
        <f>Sheet1!I219/Sheet1!J219</f>
        <v>0.99707862295573413</v>
      </c>
      <c r="E219" s="2">
        <f>Sheet1!G219</f>
        <v>24.31</v>
      </c>
    </row>
    <row r="220" spans="1:5">
      <c r="A220" t="str">
        <f>Sheet1!A220</f>
        <v>C219</v>
      </c>
      <c r="B220" t="str">
        <f>Sheet1!B220</f>
        <v>Davenport-May</v>
      </c>
      <c r="C220">
        <f>Sheet1!H220</f>
        <v>0.41</v>
      </c>
      <c r="D220" s="2">
        <f>Sheet1!I220/Sheet1!J220</f>
        <v>1.9267012805665302</v>
      </c>
      <c r="E220" s="2">
        <f>Sheet1!G220</f>
        <v>5.36</v>
      </c>
    </row>
    <row r="221" spans="1:5">
      <c r="A221" t="str">
        <f>Sheet1!A221</f>
        <v>C220</v>
      </c>
      <c r="B221" t="str">
        <f>Sheet1!B221</f>
        <v>Perez-Wilson</v>
      </c>
      <c r="C221">
        <f>Sheet1!H221</f>
        <v>0.33</v>
      </c>
      <c r="D221" s="2">
        <f>Sheet1!I221/Sheet1!J221</f>
        <v>0.37993567421518015</v>
      </c>
      <c r="E221" s="2">
        <f>Sheet1!G221</f>
        <v>23.86</v>
      </c>
    </row>
    <row r="222" spans="1:5">
      <c r="A222" t="str">
        <f>Sheet1!A222</f>
        <v>C221</v>
      </c>
      <c r="B222" t="str">
        <f>Sheet1!B222</f>
        <v>Harris, Gonzalez and Howell</v>
      </c>
      <c r="C222">
        <f>Sheet1!H222</f>
        <v>0.62</v>
      </c>
      <c r="D222" s="2">
        <f>Sheet1!I222/Sheet1!J222</f>
        <v>5.2716237053019279</v>
      </c>
      <c r="E222" s="2">
        <f>Sheet1!G222</f>
        <v>17.86</v>
      </c>
    </row>
    <row r="223" spans="1:5">
      <c r="A223" t="str">
        <f>Sheet1!A223</f>
        <v>C222</v>
      </c>
      <c r="B223" t="str">
        <f>Sheet1!B223</f>
        <v>Price Group</v>
      </c>
      <c r="C223">
        <f>Sheet1!H223</f>
        <v>0.88</v>
      </c>
      <c r="D223" s="2">
        <f>Sheet1!I223/Sheet1!J223</f>
        <v>1.6704170087120873</v>
      </c>
      <c r="E223" s="2">
        <f>Sheet1!G223</f>
        <v>11.93</v>
      </c>
    </row>
    <row r="224" spans="1:5">
      <c r="A224" t="str">
        <f>Sheet1!A224</f>
        <v>C223</v>
      </c>
      <c r="B224" t="str">
        <f>Sheet1!B224</f>
        <v>Miller-Guzman</v>
      </c>
      <c r="C224">
        <f>Sheet1!H224</f>
        <v>0.23</v>
      </c>
      <c r="D224" s="2">
        <f>Sheet1!I224/Sheet1!J224</f>
        <v>1.2280475282382279</v>
      </c>
      <c r="E224" s="2">
        <f>Sheet1!G224</f>
        <v>23.68</v>
      </c>
    </row>
    <row r="225" spans="1:5">
      <c r="A225" t="str">
        <f>Sheet1!A225</f>
        <v>C224</v>
      </c>
      <c r="B225" t="str">
        <f>Sheet1!B225</f>
        <v>Martinez-Buchanan</v>
      </c>
      <c r="C225">
        <f>Sheet1!H225</f>
        <v>0.48</v>
      </c>
      <c r="D225" s="2">
        <f>Sheet1!I225/Sheet1!J225</f>
        <v>0.24716828855193909</v>
      </c>
      <c r="E225" s="2">
        <f>Sheet1!G225</f>
        <v>19.850000000000001</v>
      </c>
    </row>
    <row r="226" spans="1:5">
      <c r="A226" t="str">
        <f>Sheet1!A226</f>
        <v>C225</v>
      </c>
      <c r="B226" t="str">
        <f>Sheet1!B226</f>
        <v>Sullivan-Cruz</v>
      </c>
      <c r="C226">
        <f>Sheet1!H226</f>
        <v>0.2</v>
      </c>
      <c r="D226" s="2">
        <f>Sheet1!I226/Sheet1!J226</f>
        <v>-0.20128312214540867</v>
      </c>
      <c r="E226" s="2">
        <f>Sheet1!G226</f>
        <v>19.649999999999999</v>
      </c>
    </row>
    <row r="227" spans="1:5">
      <c r="A227" t="str">
        <f>Sheet1!A227</f>
        <v>C226</v>
      </c>
      <c r="B227" t="str">
        <f>Sheet1!B227</f>
        <v>Whitney, Rice and Flores</v>
      </c>
      <c r="C227">
        <f>Sheet1!H227</f>
        <v>0.76</v>
      </c>
      <c r="D227" s="2">
        <f>Sheet1!I227/Sheet1!J227</f>
        <v>0.46666393360715175</v>
      </c>
      <c r="E227" s="2">
        <f>Sheet1!G227</f>
        <v>6.28</v>
      </c>
    </row>
    <row r="228" spans="1:5">
      <c r="A228" t="str">
        <f>Sheet1!A228</f>
        <v>C227</v>
      </c>
      <c r="B228" t="str">
        <f>Sheet1!B228</f>
        <v>Alexander, Gonzalez and Smith</v>
      </c>
      <c r="C228">
        <f>Sheet1!H228</f>
        <v>0.75</v>
      </c>
      <c r="D228" s="2">
        <f>Sheet1!I228/Sheet1!J228</f>
        <v>-8.4647044407747826E-2</v>
      </c>
      <c r="E228" s="2">
        <f>Sheet1!G228</f>
        <v>18.149999999999999</v>
      </c>
    </row>
    <row r="229" spans="1:5">
      <c r="A229" t="str">
        <f>Sheet1!A229</f>
        <v>C228</v>
      </c>
      <c r="B229" t="str">
        <f>Sheet1!B229</f>
        <v>Bailey Group</v>
      </c>
      <c r="C229">
        <f>Sheet1!H229</f>
        <v>1.02</v>
      </c>
      <c r="D229" s="2">
        <f>Sheet1!I229/Sheet1!J229</f>
        <v>0.44313869223170854</v>
      </c>
      <c r="E229" s="2">
        <f>Sheet1!G229</f>
        <v>22.76</v>
      </c>
    </row>
    <row r="230" spans="1:5">
      <c r="A230" t="str">
        <f>Sheet1!A230</f>
        <v>C229</v>
      </c>
      <c r="B230" t="str">
        <f>Sheet1!B230</f>
        <v>Hunt Ltd</v>
      </c>
      <c r="C230">
        <f>Sheet1!H230</f>
        <v>0.91</v>
      </c>
      <c r="D230" s="2">
        <f>Sheet1!I230/Sheet1!J230</f>
        <v>0.46055543746014282</v>
      </c>
      <c r="E230" s="2">
        <f>Sheet1!G230</f>
        <v>21.35</v>
      </c>
    </row>
    <row r="231" spans="1:5">
      <c r="A231" t="str">
        <f>Sheet1!A231</f>
        <v>C230</v>
      </c>
      <c r="B231" t="str">
        <f>Sheet1!B231</f>
        <v>Beard-Barton</v>
      </c>
      <c r="C231">
        <f>Sheet1!H231</f>
        <v>0.73</v>
      </c>
      <c r="D231" s="2">
        <f>Sheet1!I231/Sheet1!J231</f>
        <v>0.20336925003926196</v>
      </c>
      <c r="E231" s="2">
        <f>Sheet1!G231</f>
        <v>10.6</v>
      </c>
    </row>
    <row r="232" spans="1:5">
      <c r="A232" t="str">
        <f>Sheet1!A232</f>
        <v>C231</v>
      </c>
      <c r="B232" t="str">
        <f>Sheet1!B232</f>
        <v>Castaneda-Johnson</v>
      </c>
      <c r="C232">
        <f>Sheet1!H232</f>
        <v>0.47</v>
      </c>
      <c r="D232" s="2">
        <f>Sheet1!I232/Sheet1!J232</f>
        <v>2.3770182746982091</v>
      </c>
      <c r="E232" s="2">
        <f>Sheet1!G232</f>
        <v>4.74</v>
      </c>
    </row>
    <row r="233" spans="1:5">
      <c r="A233" t="str">
        <f>Sheet1!A233</f>
        <v>C232</v>
      </c>
      <c r="B233" t="str">
        <f>Sheet1!B233</f>
        <v>White-Delacruz</v>
      </c>
      <c r="C233">
        <f>Sheet1!H233</f>
        <v>0.28000000000000003</v>
      </c>
      <c r="D233" s="2">
        <f>Sheet1!I233/Sheet1!J233</f>
        <v>-6.1849947818020175E-2</v>
      </c>
      <c r="E233" s="2">
        <f>Sheet1!G233</f>
        <v>6.3</v>
      </c>
    </row>
    <row r="234" spans="1:5">
      <c r="A234" t="str">
        <f>Sheet1!A234</f>
        <v>C233</v>
      </c>
      <c r="B234" t="str">
        <f>Sheet1!B234</f>
        <v>Foster Ltd</v>
      </c>
      <c r="C234">
        <f>Sheet1!H234</f>
        <v>0.85</v>
      </c>
      <c r="D234" s="2">
        <f>Sheet1!I234/Sheet1!J234</f>
        <v>0.66435244805210991</v>
      </c>
      <c r="E234" s="2">
        <f>Sheet1!G234</f>
        <v>9.9600000000000009</v>
      </c>
    </row>
    <row r="235" spans="1:5">
      <c r="A235" t="str">
        <f>Sheet1!A235</f>
        <v>C234</v>
      </c>
      <c r="B235" t="str">
        <f>Sheet1!B235</f>
        <v>Rice-Peterson</v>
      </c>
      <c r="C235">
        <f>Sheet1!H235</f>
        <v>0.19</v>
      </c>
      <c r="D235" s="2">
        <f>Sheet1!I235/Sheet1!J235</f>
        <v>0.82826959205677964</v>
      </c>
      <c r="E235" s="2">
        <f>Sheet1!G235</f>
        <v>24.73</v>
      </c>
    </row>
    <row r="236" spans="1:5">
      <c r="A236" t="str">
        <f>Sheet1!A236</f>
        <v>C235</v>
      </c>
      <c r="B236" t="str">
        <f>Sheet1!B236</f>
        <v>Arnold Ltd</v>
      </c>
      <c r="C236">
        <f>Sheet1!H236</f>
        <v>0.97</v>
      </c>
      <c r="D236" s="2">
        <f>Sheet1!I236/Sheet1!J236</f>
        <v>0.29317974463683688</v>
      </c>
      <c r="E236" s="2">
        <f>Sheet1!G236</f>
        <v>9.64</v>
      </c>
    </row>
    <row r="237" spans="1:5">
      <c r="A237" t="str">
        <f>Sheet1!A237</f>
        <v>C236</v>
      </c>
      <c r="B237" t="str">
        <f>Sheet1!B237</f>
        <v>Simmons Ltd</v>
      </c>
      <c r="C237">
        <f>Sheet1!H237</f>
        <v>0.56999999999999995</v>
      </c>
      <c r="D237" s="2">
        <f>Sheet1!I237/Sheet1!J237</f>
        <v>1.0824411507070257</v>
      </c>
      <c r="E237" s="2">
        <f>Sheet1!G237</f>
        <v>2.95</v>
      </c>
    </row>
    <row r="238" spans="1:5">
      <c r="A238" t="str">
        <f>Sheet1!A238</f>
        <v>C237</v>
      </c>
      <c r="B238" t="str">
        <f>Sheet1!B238</f>
        <v>Green-Watson</v>
      </c>
      <c r="C238">
        <f>Sheet1!H238</f>
        <v>0.62</v>
      </c>
      <c r="D238" s="2">
        <f>Sheet1!I238/Sheet1!J238</f>
        <v>0.2321360291007529</v>
      </c>
      <c r="E238" s="2">
        <f>Sheet1!G238</f>
        <v>2.78</v>
      </c>
    </row>
    <row r="239" spans="1:5">
      <c r="A239" t="str">
        <f>Sheet1!A239</f>
        <v>C238</v>
      </c>
      <c r="B239" t="str">
        <f>Sheet1!B239</f>
        <v>Mercer, Fernandez and Harris</v>
      </c>
      <c r="C239">
        <f>Sheet1!H239</f>
        <v>0.95</v>
      </c>
      <c r="D239" s="2">
        <f>Sheet1!I239/Sheet1!J239</f>
        <v>0.40757942506793676</v>
      </c>
      <c r="E239" s="2">
        <f>Sheet1!G239</f>
        <v>17.12</v>
      </c>
    </row>
    <row r="240" spans="1:5">
      <c r="A240" t="str">
        <f>Sheet1!A240</f>
        <v>C239</v>
      </c>
      <c r="B240" t="str">
        <f>Sheet1!B240</f>
        <v>Jackson, Mendoza and Evans</v>
      </c>
      <c r="C240">
        <f>Sheet1!H240</f>
        <v>0.36</v>
      </c>
      <c r="D240" s="2">
        <f>Sheet1!I240/Sheet1!J240</f>
        <v>0.7123554478432732</v>
      </c>
      <c r="E240" s="2">
        <f>Sheet1!G240</f>
        <v>15.25</v>
      </c>
    </row>
    <row r="241" spans="1:5">
      <c r="A241" t="str">
        <f>Sheet1!A241</f>
        <v>C240</v>
      </c>
      <c r="B241" t="str">
        <f>Sheet1!B241</f>
        <v>Charles Inc</v>
      </c>
      <c r="C241">
        <f>Sheet1!H241</f>
        <v>0.16</v>
      </c>
      <c r="D241" s="2">
        <f>Sheet1!I241/Sheet1!J241</f>
        <v>1.9023754735430682</v>
      </c>
      <c r="E241" s="2">
        <f>Sheet1!G241</f>
        <v>4.25</v>
      </c>
    </row>
    <row r="242" spans="1:5">
      <c r="A242" t="str">
        <f>Sheet1!A242</f>
        <v>C241</v>
      </c>
      <c r="B242" t="str">
        <f>Sheet1!B242</f>
        <v>Richmond-Lee</v>
      </c>
      <c r="C242">
        <f>Sheet1!H242</f>
        <v>0.33</v>
      </c>
      <c r="D242" s="2">
        <f>Sheet1!I242/Sheet1!J242</f>
        <v>2.3106260728345447</v>
      </c>
      <c r="E242" s="2">
        <f>Sheet1!G242</f>
        <v>8.7200000000000006</v>
      </c>
    </row>
    <row r="243" spans="1:5">
      <c r="A243" t="str">
        <f>Sheet1!A243</f>
        <v>C242</v>
      </c>
      <c r="B243" t="str">
        <f>Sheet1!B243</f>
        <v>Howard Ltd</v>
      </c>
      <c r="C243">
        <f>Sheet1!H243</f>
        <v>0.21</v>
      </c>
      <c r="D243" s="2">
        <f>Sheet1!I243/Sheet1!J243</f>
        <v>4.3397614752715521</v>
      </c>
      <c r="E243" s="2">
        <f>Sheet1!G243</f>
        <v>19.39</v>
      </c>
    </row>
    <row r="244" spans="1:5">
      <c r="A244" t="str">
        <f>Sheet1!A244</f>
        <v>C243</v>
      </c>
      <c r="B244" t="str">
        <f>Sheet1!B244</f>
        <v>Vega, Santos and Johnson</v>
      </c>
      <c r="C244">
        <f>Sheet1!H244</f>
        <v>0.34</v>
      </c>
      <c r="D244" s="2">
        <f>Sheet1!I244/Sheet1!J244</f>
        <v>2.0428976971092321</v>
      </c>
      <c r="E244" s="2">
        <f>Sheet1!G244</f>
        <v>5.78</v>
      </c>
    </row>
    <row r="245" spans="1:5">
      <c r="A245" t="str">
        <f>Sheet1!A245</f>
        <v>C244</v>
      </c>
      <c r="B245" t="str">
        <f>Sheet1!B245</f>
        <v>Blair-Velazquez</v>
      </c>
      <c r="C245">
        <f>Sheet1!H245</f>
        <v>0.45</v>
      </c>
      <c r="D245" s="2">
        <f>Sheet1!I245/Sheet1!J245</f>
        <v>1.7666892564952561</v>
      </c>
      <c r="E245" s="2">
        <f>Sheet1!G245</f>
        <v>3.85</v>
      </c>
    </row>
    <row r="246" spans="1:5">
      <c r="A246" t="str">
        <f>Sheet1!A246</f>
        <v>C245</v>
      </c>
      <c r="B246" t="str">
        <f>Sheet1!B246</f>
        <v>Ross Ltd</v>
      </c>
      <c r="C246">
        <f>Sheet1!H246</f>
        <v>0.19</v>
      </c>
      <c r="D246" s="2">
        <f>Sheet1!I246/Sheet1!J246</f>
        <v>0.23557054857346554</v>
      </c>
      <c r="E246" s="2">
        <f>Sheet1!G246</f>
        <v>21.42</v>
      </c>
    </row>
    <row r="247" spans="1:5">
      <c r="A247" t="str">
        <f>Sheet1!A247</f>
        <v>C246</v>
      </c>
      <c r="B247" t="str">
        <f>Sheet1!B247</f>
        <v>Riley-Snow</v>
      </c>
      <c r="C247">
        <f>Sheet1!H247</f>
        <v>0.68</v>
      </c>
      <c r="D247" s="2">
        <f>Sheet1!I247/Sheet1!J247</f>
        <v>0.94305879553718752</v>
      </c>
      <c r="E247" s="2">
        <f>Sheet1!G247</f>
        <v>20.2</v>
      </c>
    </row>
    <row r="248" spans="1:5">
      <c r="A248" t="str">
        <f>Sheet1!A248</f>
        <v>C247</v>
      </c>
      <c r="B248" t="str">
        <f>Sheet1!B248</f>
        <v>Scott LLC</v>
      </c>
      <c r="C248">
        <f>Sheet1!H248</f>
        <v>1.06</v>
      </c>
      <c r="D248" s="2">
        <f>Sheet1!I248/Sheet1!J248</f>
        <v>-2.4803506446070805E-2</v>
      </c>
      <c r="E248" s="2">
        <f>Sheet1!G248</f>
        <v>5.9</v>
      </c>
    </row>
    <row r="249" spans="1:5">
      <c r="A249" t="str">
        <f>Sheet1!A249</f>
        <v>C248</v>
      </c>
      <c r="B249" t="str">
        <f>Sheet1!B249</f>
        <v>Medina LLC</v>
      </c>
      <c r="C249">
        <f>Sheet1!H249</f>
        <v>0.48</v>
      </c>
      <c r="D249" s="2">
        <f>Sheet1!I249/Sheet1!J249</f>
        <v>1.9875013944889794</v>
      </c>
      <c r="E249" s="2">
        <f>Sheet1!G249</f>
        <v>19.2</v>
      </c>
    </row>
    <row r="250" spans="1:5">
      <c r="A250" t="str">
        <f>Sheet1!A250</f>
        <v>C249</v>
      </c>
      <c r="B250" t="str">
        <f>Sheet1!B250</f>
        <v>Stewart-Gordon</v>
      </c>
      <c r="C250">
        <f>Sheet1!H250</f>
        <v>0.98</v>
      </c>
      <c r="D250" s="2">
        <f>Sheet1!I250/Sheet1!J250</f>
        <v>1.4466805171432731</v>
      </c>
      <c r="E250" s="2">
        <f>Sheet1!G250</f>
        <v>16.39</v>
      </c>
    </row>
    <row r="251" spans="1:5">
      <c r="A251" t="str">
        <f>Sheet1!A251</f>
        <v>C250</v>
      </c>
      <c r="B251" t="str">
        <f>Sheet1!B251</f>
        <v>Johnson-Weeks</v>
      </c>
      <c r="C251">
        <f>Sheet1!H251</f>
        <v>0.4</v>
      </c>
      <c r="D251" s="2">
        <f>Sheet1!I251/Sheet1!J251</f>
        <v>0.52725291799500829</v>
      </c>
      <c r="E251" s="2">
        <f>Sheet1!G251</f>
        <v>13.57</v>
      </c>
    </row>
    <row r="252" spans="1:5">
      <c r="A252" t="str">
        <f>Sheet1!A252</f>
        <v>C251</v>
      </c>
      <c r="B252" t="str">
        <f>Sheet1!B252</f>
        <v>Burke Inc</v>
      </c>
      <c r="C252">
        <f>Sheet1!H252</f>
        <v>0.17</v>
      </c>
      <c r="D252" s="2">
        <f>Sheet1!I252/Sheet1!J252</f>
        <v>0.32656665973589688</v>
      </c>
      <c r="E252" s="2">
        <f>Sheet1!G252</f>
        <v>13.25</v>
      </c>
    </row>
    <row r="253" spans="1:5">
      <c r="A253" t="str">
        <f>Sheet1!A253</f>
        <v>C252</v>
      </c>
      <c r="B253" t="str">
        <f>Sheet1!B253</f>
        <v>Gay, Martin and Morgan</v>
      </c>
      <c r="C253">
        <f>Sheet1!H253</f>
        <v>0.7</v>
      </c>
      <c r="D253" s="2">
        <f>Sheet1!I253/Sheet1!J253</f>
        <v>0.69755078458513797</v>
      </c>
      <c r="E253" s="2">
        <f>Sheet1!G253</f>
        <v>11.83</v>
      </c>
    </row>
    <row r="254" spans="1:5">
      <c r="A254" t="str">
        <f>Sheet1!A254</f>
        <v>C253</v>
      </c>
      <c r="B254" t="str">
        <f>Sheet1!B254</f>
        <v>Diaz, Wilson and Buckley</v>
      </c>
      <c r="C254">
        <f>Sheet1!H254</f>
        <v>0.17</v>
      </c>
      <c r="D254" s="2">
        <f>Sheet1!I254/Sheet1!J254</f>
        <v>7.2676200552919896</v>
      </c>
      <c r="E254" s="2">
        <f>Sheet1!G254</f>
        <v>18.059999999999999</v>
      </c>
    </row>
    <row r="255" spans="1:5">
      <c r="A255" t="str">
        <f>Sheet1!A255</f>
        <v>C254</v>
      </c>
      <c r="B255" t="str">
        <f>Sheet1!B255</f>
        <v>Arnold and Sons</v>
      </c>
      <c r="C255">
        <f>Sheet1!H255</f>
        <v>0.56999999999999995</v>
      </c>
      <c r="D255" s="2">
        <f>Sheet1!I255/Sheet1!J255</f>
        <v>2.6719039767253232</v>
      </c>
      <c r="E255" s="2">
        <f>Sheet1!G255</f>
        <v>18.510000000000002</v>
      </c>
    </row>
    <row r="256" spans="1:5">
      <c r="A256" t="str">
        <f>Sheet1!A256</f>
        <v>C255</v>
      </c>
      <c r="B256" t="str">
        <f>Sheet1!B256</f>
        <v>Carpenter-Watts</v>
      </c>
      <c r="C256">
        <f>Sheet1!H256</f>
        <v>0.94</v>
      </c>
      <c r="D256" s="2">
        <f>Sheet1!I256/Sheet1!J256</f>
        <v>0.75443171781658358</v>
      </c>
      <c r="E256" s="2">
        <f>Sheet1!G256</f>
        <v>24.72</v>
      </c>
    </row>
    <row r="257" spans="1:5">
      <c r="A257" t="str">
        <f>Sheet1!A257</f>
        <v>C256</v>
      </c>
      <c r="B257" t="str">
        <f>Sheet1!B257</f>
        <v>Davis LLC</v>
      </c>
      <c r="C257">
        <f>Sheet1!H257</f>
        <v>0.3</v>
      </c>
      <c r="D257" s="2">
        <f>Sheet1!I257/Sheet1!J257</f>
        <v>0.76708343047215899</v>
      </c>
      <c r="E257" s="2">
        <f>Sheet1!G257</f>
        <v>16.29</v>
      </c>
    </row>
    <row r="258" spans="1:5">
      <c r="A258" t="str">
        <f>Sheet1!A258</f>
        <v>C257</v>
      </c>
      <c r="B258" t="str">
        <f>Sheet1!B258</f>
        <v>Ortiz, Wood and Cox</v>
      </c>
      <c r="C258">
        <f>Sheet1!H258</f>
        <v>0.71</v>
      </c>
      <c r="D258" s="2">
        <f>Sheet1!I258/Sheet1!J258</f>
        <v>3.2773798929242419</v>
      </c>
      <c r="E258" s="2">
        <f>Sheet1!G258</f>
        <v>6.3</v>
      </c>
    </row>
    <row r="259" spans="1:5">
      <c r="A259" t="str">
        <f>Sheet1!A259</f>
        <v>C258</v>
      </c>
      <c r="B259" t="str">
        <f>Sheet1!B259</f>
        <v>Thomas, Freeman and Mendoza</v>
      </c>
      <c r="C259">
        <f>Sheet1!H259</f>
        <v>0.25</v>
      </c>
      <c r="D259" s="2">
        <f>Sheet1!I259/Sheet1!J259</f>
        <v>1.6621204133142824E-2</v>
      </c>
      <c r="E259" s="2">
        <f>Sheet1!G259</f>
        <v>9.4</v>
      </c>
    </row>
    <row r="260" spans="1:5">
      <c r="A260" t="str">
        <f>Sheet1!A260</f>
        <v>C259</v>
      </c>
      <c r="B260" t="str">
        <f>Sheet1!B260</f>
        <v>Jensen-Cherry</v>
      </c>
      <c r="C260">
        <f>Sheet1!H260</f>
        <v>1.1599999999999999</v>
      </c>
      <c r="D260" s="2">
        <f>Sheet1!I260/Sheet1!J260</f>
        <v>0.91839555536395578</v>
      </c>
      <c r="E260" s="2">
        <f>Sheet1!G260</f>
        <v>3.79</v>
      </c>
    </row>
    <row r="261" spans="1:5">
      <c r="A261" t="str">
        <f>Sheet1!A261</f>
        <v>C260</v>
      </c>
      <c r="B261" t="str">
        <f>Sheet1!B261</f>
        <v>Stephenson Group</v>
      </c>
      <c r="C261">
        <f>Sheet1!H261</f>
        <v>0.83</v>
      </c>
      <c r="D261" s="2">
        <f>Sheet1!I261/Sheet1!J261</f>
        <v>1.1448763250883391</v>
      </c>
      <c r="E261" s="2">
        <f>Sheet1!G261</f>
        <v>17.8</v>
      </c>
    </row>
    <row r="262" spans="1:5">
      <c r="A262" t="str">
        <f>Sheet1!A262</f>
        <v>C261</v>
      </c>
      <c r="B262" t="str">
        <f>Sheet1!B262</f>
        <v>Hawkins Ltd</v>
      </c>
      <c r="C262">
        <f>Sheet1!H262</f>
        <v>0.43</v>
      </c>
      <c r="D262" s="2">
        <f>Sheet1!I262/Sheet1!J262</f>
        <v>3.0603837714580733E-2</v>
      </c>
      <c r="E262" s="2">
        <f>Sheet1!G262</f>
        <v>18.940000000000001</v>
      </c>
    </row>
    <row r="263" spans="1:5">
      <c r="A263" t="str">
        <f>Sheet1!A263</f>
        <v>C262</v>
      </c>
      <c r="B263" t="str">
        <f>Sheet1!B263</f>
        <v>Love, Page and Garcia</v>
      </c>
      <c r="C263">
        <f>Sheet1!H263</f>
        <v>0.25</v>
      </c>
      <c r="D263" s="2">
        <f>Sheet1!I263/Sheet1!J263</f>
        <v>3.2881177523814853</v>
      </c>
      <c r="E263" s="2">
        <f>Sheet1!G263</f>
        <v>9.2200000000000006</v>
      </c>
    </row>
    <row r="264" spans="1:5">
      <c r="A264" t="str">
        <f>Sheet1!A264</f>
        <v>C263</v>
      </c>
      <c r="B264" t="str">
        <f>Sheet1!B264</f>
        <v>Gonzalez Group</v>
      </c>
      <c r="C264">
        <f>Sheet1!H264</f>
        <v>1.02</v>
      </c>
      <c r="D264" s="2">
        <f>Sheet1!I264/Sheet1!J264</f>
        <v>0.9362779445009981</v>
      </c>
      <c r="E264" s="2">
        <f>Sheet1!G264</f>
        <v>16.510000000000002</v>
      </c>
    </row>
    <row r="265" spans="1:5">
      <c r="A265" t="str">
        <f>Sheet1!A265</f>
        <v>C264</v>
      </c>
      <c r="B265" t="str">
        <f>Sheet1!B265</f>
        <v>Estes, Carter and Garcia</v>
      </c>
      <c r="C265">
        <f>Sheet1!H265</f>
        <v>1.18</v>
      </c>
      <c r="D265" s="2">
        <f>Sheet1!I265/Sheet1!J265</f>
        <v>1.1335057668067992</v>
      </c>
      <c r="E265" s="2">
        <f>Sheet1!G265</f>
        <v>6.6</v>
      </c>
    </row>
    <row r="266" spans="1:5">
      <c r="A266" t="str">
        <f>Sheet1!A266</f>
        <v>C265</v>
      </c>
      <c r="B266" t="str">
        <f>Sheet1!B266</f>
        <v>Ingram, Morales and Gilbert</v>
      </c>
      <c r="C266">
        <f>Sheet1!H266</f>
        <v>0.91</v>
      </c>
      <c r="D266" s="2">
        <f>Sheet1!I266/Sheet1!J266</f>
        <v>0.72499018205157928</v>
      </c>
      <c r="E266" s="2">
        <f>Sheet1!G266</f>
        <v>7.41</v>
      </c>
    </row>
    <row r="267" spans="1:5">
      <c r="A267" t="str">
        <f>Sheet1!A267</f>
        <v>C266</v>
      </c>
      <c r="B267" t="str">
        <f>Sheet1!B267</f>
        <v>Butler-Russell</v>
      </c>
      <c r="C267">
        <f>Sheet1!H267</f>
        <v>0.17</v>
      </c>
      <c r="D267" s="2">
        <f>Sheet1!I267/Sheet1!J267</f>
        <v>0.62624593256096683</v>
      </c>
      <c r="E267" s="2">
        <f>Sheet1!G267</f>
        <v>19.29</v>
      </c>
    </row>
    <row r="268" spans="1:5">
      <c r="A268" t="str">
        <f>Sheet1!A268</f>
        <v>C267</v>
      </c>
      <c r="B268" t="str">
        <f>Sheet1!B268</f>
        <v>Rice, Richardson and Holland</v>
      </c>
      <c r="C268">
        <f>Sheet1!H268</f>
        <v>0.66</v>
      </c>
      <c r="D268" s="2">
        <f>Sheet1!I268/Sheet1!J268</f>
        <v>0.21555308576052784</v>
      </c>
      <c r="E268" s="2">
        <f>Sheet1!G268</f>
        <v>2.82</v>
      </c>
    </row>
    <row r="269" spans="1:5">
      <c r="A269" t="str">
        <f>Sheet1!A269</f>
        <v>C268</v>
      </c>
      <c r="B269" t="str">
        <f>Sheet1!B269</f>
        <v>Carr-Carr</v>
      </c>
      <c r="C269">
        <f>Sheet1!H269</f>
        <v>0.95</v>
      </c>
      <c r="D269" s="2">
        <f>Sheet1!I269/Sheet1!J269</f>
        <v>2.727385321793768</v>
      </c>
      <c r="E269" s="2">
        <f>Sheet1!G269</f>
        <v>17.48</v>
      </c>
    </row>
    <row r="270" spans="1:5">
      <c r="A270" t="str">
        <f>Sheet1!A270</f>
        <v>C269</v>
      </c>
      <c r="B270" t="str">
        <f>Sheet1!B270</f>
        <v>Garcia-Davis</v>
      </c>
      <c r="C270">
        <f>Sheet1!H270</f>
        <v>1.1399999999999999</v>
      </c>
      <c r="D270" s="2">
        <f>Sheet1!I270/Sheet1!J270</f>
        <v>0.33068402104680145</v>
      </c>
      <c r="E270" s="2">
        <f>Sheet1!G270</f>
        <v>8.89</v>
      </c>
    </row>
    <row r="271" spans="1:5">
      <c r="A271" t="str">
        <f>Sheet1!A271</f>
        <v>C270</v>
      </c>
      <c r="B271" t="str">
        <f>Sheet1!B271</f>
        <v>Woodward Inc</v>
      </c>
      <c r="C271">
        <f>Sheet1!H271</f>
        <v>0.28000000000000003</v>
      </c>
      <c r="D271" s="2">
        <f>Sheet1!I271/Sheet1!J271</f>
        <v>0.21130041609139777</v>
      </c>
      <c r="E271" s="2">
        <f>Sheet1!G271</f>
        <v>9.1300000000000008</v>
      </c>
    </row>
    <row r="272" spans="1:5">
      <c r="A272" t="str">
        <f>Sheet1!A272</f>
        <v>C271</v>
      </c>
      <c r="B272" t="str">
        <f>Sheet1!B272</f>
        <v>Hood-Carroll</v>
      </c>
      <c r="C272">
        <f>Sheet1!H272</f>
        <v>0.59</v>
      </c>
      <c r="D272" s="2">
        <f>Sheet1!I272/Sheet1!J272</f>
        <v>-0.1642412862340101</v>
      </c>
      <c r="E272" s="2">
        <f>Sheet1!G272</f>
        <v>6.55</v>
      </c>
    </row>
    <row r="273" spans="1:5">
      <c r="A273" t="str">
        <f>Sheet1!A273</f>
        <v>C272</v>
      </c>
      <c r="B273" t="str">
        <f>Sheet1!B273</f>
        <v>Spears, Jacobs and Allen</v>
      </c>
      <c r="C273">
        <f>Sheet1!H273</f>
        <v>0.12</v>
      </c>
      <c r="D273" s="2">
        <f>Sheet1!I273/Sheet1!J273</f>
        <v>0.71575094611526824</v>
      </c>
      <c r="E273" s="2">
        <f>Sheet1!G273</f>
        <v>20.16</v>
      </c>
    </row>
    <row r="274" spans="1:5">
      <c r="A274" t="str">
        <f>Sheet1!A274</f>
        <v>C273</v>
      </c>
      <c r="B274" t="str">
        <f>Sheet1!B274</f>
        <v>Hudson PLC</v>
      </c>
      <c r="C274">
        <f>Sheet1!H274</f>
        <v>0.28999999999999998</v>
      </c>
      <c r="D274" s="2">
        <f>Sheet1!I274/Sheet1!J274</f>
        <v>0.14595736810832294</v>
      </c>
      <c r="E274" s="2">
        <f>Sheet1!G274</f>
        <v>9.98</v>
      </c>
    </row>
    <row r="275" spans="1:5">
      <c r="A275" t="str">
        <f>Sheet1!A275</f>
        <v>C274</v>
      </c>
      <c r="B275" t="str">
        <f>Sheet1!B275</f>
        <v>Bennett LLC</v>
      </c>
      <c r="C275">
        <f>Sheet1!H275</f>
        <v>0.83</v>
      </c>
      <c r="D275" s="2">
        <f>Sheet1!I275/Sheet1!J275</f>
        <v>0.8391329795205148</v>
      </c>
      <c r="E275" s="2">
        <f>Sheet1!G275</f>
        <v>10.28</v>
      </c>
    </row>
    <row r="276" spans="1:5">
      <c r="A276" t="str">
        <f>Sheet1!A276</f>
        <v>C275</v>
      </c>
      <c r="B276" t="str">
        <f>Sheet1!B276</f>
        <v>Nichols, Orr and Rosario</v>
      </c>
      <c r="C276">
        <f>Sheet1!H276</f>
        <v>0.16</v>
      </c>
      <c r="D276" s="2">
        <f>Sheet1!I276/Sheet1!J276</f>
        <v>2.9432252830775179</v>
      </c>
      <c r="E276" s="2">
        <f>Sheet1!G276</f>
        <v>22.85</v>
      </c>
    </row>
    <row r="277" spans="1:5">
      <c r="A277" t="str">
        <f>Sheet1!A277</f>
        <v>C276</v>
      </c>
      <c r="B277" t="str">
        <f>Sheet1!B277</f>
        <v>Peterson LLC</v>
      </c>
      <c r="C277">
        <f>Sheet1!H277</f>
        <v>1.2</v>
      </c>
      <c r="D277" s="2">
        <f>Sheet1!I277/Sheet1!J277</f>
        <v>-0.13455714029373542</v>
      </c>
      <c r="E277" s="2">
        <f>Sheet1!G277</f>
        <v>24.12</v>
      </c>
    </row>
    <row r="278" spans="1:5">
      <c r="A278" t="str">
        <f>Sheet1!A278</f>
        <v>C277</v>
      </c>
      <c r="B278" t="str">
        <f>Sheet1!B278</f>
        <v>Pollard-Cisneros</v>
      </c>
      <c r="C278">
        <f>Sheet1!H278</f>
        <v>0.87</v>
      </c>
      <c r="D278" s="2">
        <f>Sheet1!I278/Sheet1!J278</f>
        <v>0.19383391347588264</v>
      </c>
      <c r="E278" s="2">
        <f>Sheet1!G278</f>
        <v>21.52</v>
      </c>
    </row>
    <row r="279" spans="1:5">
      <c r="A279" t="str">
        <f>Sheet1!A279</f>
        <v>C278</v>
      </c>
      <c r="B279" t="str">
        <f>Sheet1!B279</f>
        <v>Davidson PLC</v>
      </c>
      <c r="C279">
        <f>Sheet1!H279</f>
        <v>0.17</v>
      </c>
      <c r="D279" s="2">
        <f>Sheet1!I279/Sheet1!J279</f>
        <v>1.5982500534869823</v>
      </c>
      <c r="E279" s="2">
        <f>Sheet1!G279</f>
        <v>20.66</v>
      </c>
    </row>
    <row r="280" spans="1:5">
      <c r="A280" t="str">
        <f>Sheet1!A280</f>
        <v>C279</v>
      </c>
      <c r="B280" t="str">
        <f>Sheet1!B280</f>
        <v>Erickson-Dean</v>
      </c>
      <c r="C280">
        <f>Sheet1!H280</f>
        <v>0.35</v>
      </c>
      <c r="D280" s="2">
        <f>Sheet1!I280/Sheet1!J280</f>
        <v>0.73705191996043151</v>
      </c>
      <c r="E280" s="2">
        <f>Sheet1!G280</f>
        <v>23.42</v>
      </c>
    </row>
    <row r="281" spans="1:5">
      <c r="A281" t="str">
        <f>Sheet1!A281</f>
        <v>C280</v>
      </c>
      <c r="B281" t="str">
        <f>Sheet1!B281</f>
        <v>Wade, Walker and Baldwin</v>
      </c>
      <c r="C281">
        <f>Sheet1!H281</f>
        <v>0.71</v>
      </c>
      <c r="D281" s="2">
        <f>Sheet1!I281/Sheet1!J281</f>
        <v>0.93998131613614255</v>
      </c>
      <c r="E281" s="2">
        <f>Sheet1!G281</f>
        <v>5.51</v>
      </c>
    </row>
    <row r="282" spans="1:5">
      <c r="A282" t="str">
        <f>Sheet1!A282</f>
        <v>C281</v>
      </c>
      <c r="B282" t="str">
        <f>Sheet1!B282</f>
        <v>Bush, Nguyen and Gamble</v>
      </c>
      <c r="C282">
        <f>Sheet1!H282</f>
        <v>1.0900000000000001</v>
      </c>
      <c r="D282" s="2">
        <f>Sheet1!I282/Sheet1!J282</f>
        <v>1.6147953125806618</v>
      </c>
      <c r="E282" s="2">
        <f>Sheet1!G282</f>
        <v>19.850000000000001</v>
      </c>
    </row>
    <row r="283" spans="1:5">
      <c r="A283" t="str">
        <f>Sheet1!A283</f>
        <v>C282</v>
      </c>
      <c r="B283" t="str">
        <f>Sheet1!B283</f>
        <v>Hansen and Sons</v>
      </c>
      <c r="C283">
        <f>Sheet1!H283</f>
        <v>0.6</v>
      </c>
      <c r="D283" s="2">
        <f>Sheet1!I283/Sheet1!J283</f>
        <v>2.8886421638941151</v>
      </c>
      <c r="E283" s="2">
        <f>Sheet1!G283</f>
        <v>9.76</v>
      </c>
    </row>
    <row r="284" spans="1:5">
      <c r="A284" t="str">
        <f>Sheet1!A284</f>
        <v>C283</v>
      </c>
      <c r="B284" t="str">
        <f>Sheet1!B284</f>
        <v>Wallace-Lewis</v>
      </c>
      <c r="C284">
        <f>Sheet1!H284</f>
        <v>0.72</v>
      </c>
      <c r="D284" s="2">
        <f>Sheet1!I284/Sheet1!J284</f>
        <v>1.84371014218905</v>
      </c>
      <c r="E284" s="2">
        <f>Sheet1!G284</f>
        <v>11.53</v>
      </c>
    </row>
    <row r="285" spans="1:5">
      <c r="A285" t="str">
        <f>Sheet1!A285</f>
        <v>C284</v>
      </c>
      <c r="B285" t="str">
        <f>Sheet1!B285</f>
        <v>House, Lara and Rogers</v>
      </c>
      <c r="C285">
        <f>Sheet1!H285</f>
        <v>0.3</v>
      </c>
      <c r="D285" s="2">
        <f>Sheet1!I285/Sheet1!J285</f>
        <v>4.10837986078658</v>
      </c>
      <c r="E285" s="2">
        <f>Sheet1!G285</f>
        <v>17.46</v>
      </c>
    </row>
    <row r="286" spans="1:5">
      <c r="A286" t="str">
        <f>Sheet1!A286</f>
        <v>C285</v>
      </c>
      <c r="B286" t="str">
        <f>Sheet1!B286</f>
        <v>Campbell Group</v>
      </c>
      <c r="C286">
        <f>Sheet1!H286</f>
        <v>0.24</v>
      </c>
      <c r="D286" s="2">
        <f>Sheet1!I286/Sheet1!J286</f>
        <v>2.2084368948697208</v>
      </c>
      <c r="E286" s="2">
        <f>Sheet1!G286</f>
        <v>20.81</v>
      </c>
    </row>
    <row r="287" spans="1:5">
      <c r="A287" t="str">
        <f>Sheet1!A287</f>
        <v>C286</v>
      </c>
      <c r="B287" t="str">
        <f>Sheet1!B287</f>
        <v>Lamb, Kelley and Peterson</v>
      </c>
      <c r="C287">
        <f>Sheet1!H287</f>
        <v>1.04</v>
      </c>
      <c r="D287" s="2">
        <f>Sheet1!I287/Sheet1!J287</f>
        <v>1.9375289397447242</v>
      </c>
      <c r="E287" s="2">
        <f>Sheet1!G287</f>
        <v>9.7200000000000006</v>
      </c>
    </row>
    <row r="288" spans="1:5">
      <c r="A288" t="str">
        <f>Sheet1!A288</f>
        <v>C287</v>
      </c>
      <c r="B288" t="str">
        <f>Sheet1!B288</f>
        <v>Martin-Holden</v>
      </c>
      <c r="C288">
        <f>Sheet1!H288</f>
        <v>0.45</v>
      </c>
      <c r="D288" s="2">
        <f>Sheet1!I288/Sheet1!J288</f>
        <v>0.28696504219213875</v>
      </c>
      <c r="E288" s="2">
        <f>Sheet1!G288</f>
        <v>6.21</v>
      </c>
    </row>
    <row r="289" spans="1:5">
      <c r="A289" t="str">
        <f>Sheet1!A289</f>
        <v>C288</v>
      </c>
      <c r="B289" t="str">
        <f>Sheet1!B289</f>
        <v>Caldwell, Fields and Garrett</v>
      </c>
      <c r="C289">
        <f>Sheet1!H289</f>
        <v>1.1499999999999999</v>
      </c>
      <c r="D289" s="2">
        <f>Sheet1!I289/Sheet1!J289</f>
        <v>0.15204880345302468</v>
      </c>
      <c r="E289" s="2">
        <f>Sheet1!G289</f>
        <v>18.29</v>
      </c>
    </row>
    <row r="290" spans="1:5">
      <c r="A290" t="str">
        <f>Sheet1!A290</f>
        <v>C289</v>
      </c>
      <c r="B290" t="str">
        <f>Sheet1!B290</f>
        <v>Wiley, Ibarra and Smith</v>
      </c>
      <c r="C290">
        <f>Sheet1!H290</f>
        <v>1.1000000000000001</v>
      </c>
      <c r="D290" s="2">
        <f>Sheet1!I290/Sheet1!J290</f>
        <v>0.56515602709178803</v>
      </c>
      <c r="E290" s="2">
        <f>Sheet1!G290</f>
        <v>17.54</v>
      </c>
    </row>
    <row r="291" spans="1:5">
      <c r="A291" t="str">
        <f>Sheet1!A291</f>
        <v>C290</v>
      </c>
      <c r="B291" t="str">
        <f>Sheet1!B291</f>
        <v>Roberts Inc</v>
      </c>
      <c r="C291">
        <f>Sheet1!H291</f>
        <v>0.46</v>
      </c>
      <c r="D291" s="2">
        <f>Sheet1!I291/Sheet1!J291</f>
        <v>-0.12389307849573071</v>
      </c>
      <c r="E291" s="2">
        <f>Sheet1!G291</f>
        <v>7.04</v>
      </c>
    </row>
    <row r="292" spans="1:5">
      <c r="A292" t="str">
        <f>Sheet1!A292</f>
        <v>C291</v>
      </c>
      <c r="B292" t="str">
        <f>Sheet1!B292</f>
        <v>Miller-Washington</v>
      </c>
      <c r="C292">
        <f>Sheet1!H292</f>
        <v>0.83</v>
      </c>
      <c r="D292" s="2">
        <f>Sheet1!I292/Sheet1!J292</f>
        <v>1.0664436448799235</v>
      </c>
      <c r="E292" s="2">
        <f>Sheet1!G292</f>
        <v>20.57</v>
      </c>
    </row>
    <row r="293" spans="1:5">
      <c r="A293" t="str">
        <f>Sheet1!A293</f>
        <v>C292</v>
      </c>
      <c r="B293" t="str">
        <f>Sheet1!B293</f>
        <v>Lopez-Lester</v>
      </c>
      <c r="C293">
        <f>Sheet1!H293</f>
        <v>0.89</v>
      </c>
      <c r="D293" s="2">
        <f>Sheet1!I293/Sheet1!J293</f>
        <v>0.91224965007726122</v>
      </c>
      <c r="E293" s="2">
        <f>Sheet1!G293</f>
        <v>11</v>
      </c>
    </row>
    <row r="294" spans="1:5">
      <c r="A294" t="str">
        <f>Sheet1!A294</f>
        <v>C293</v>
      </c>
      <c r="B294" t="str">
        <f>Sheet1!B294</f>
        <v>Moreno-Hawkins</v>
      </c>
      <c r="C294">
        <f>Sheet1!H294</f>
        <v>0.31</v>
      </c>
      <c r="D294" s="2">
        <f>Sheet1!I294/Sheet1!J294</f>
        <v>1.3196924844684208</v>
      </c>
      <c r="E294" s="2">
        <f>Sheet1!G294</f>
        <v>10.53</v>
      </c>
    </row>
    <row r="295" spans="1:5">
      <c r="A295" t="str">
        <f>Sheet1!A295</f>
        <v>C294</v>
      </c>
      <c r="B295" t="str">
        <f>Sheet1!B295</f>
        <v>Ramirez-Anderson</v>
      </c>
      <c r="C295">
        <f>Sheet1!H295</f>
        <v>0.69</v>
      </c>
      <c r="D295" s="2">
        <f>Sheet1!I295/Sheet1!J295</f>
        <v>0.60005064177402556</v>
      </c>
      <c r="E295" s="2">
        <f>Sheet1!G295</f>
        <v>23.86</v>
      </c>
    </row>
    <row r="296" spans="1:5">
      <c r="A296" t="str">
        <f>Sheet1!A296</f>
        <v>C295</v>
      </c>
      <c r="B296" t="str">
        <f>Sheet1!B296</f>
        <v>Johnson, Webster and Stanley</v>
      </c>
      <c r="C296">
        <f>Sheet1!H296</f>
        <v>0.84</v>
      </c>
      <c r="D296" s="2">
        <f>Sheet1!I296/Sheet1!J296</f>
        <v>0.87995650451294594</v>
      </c>
      <c r="E296" s="2">
        <f>Sheet1!G296</f>
        <v>24.94</v>
      </c>
    </row>
    <row r="297" spans="1:5">
      <c r="A297" t="str">
        <f>Sheet1!A297</f>
        <v>C296</v>
      </c>
      <c r="B297" t="str">
        <f>Sheet1!B297</f>
        <v>Walton PLC</v>
      </c>
      <c r="C297">
        <f>Sheet1!H297</f>
        <v>0.12</v>
      </c>
      <c r="D297" s="2">
        <f>Sheet1!I297/Sheet1!J297</f>
        <v>0.43569591006091851</v>
      </c>
      <c r="E297" s="2">
        <f>Sheet1!G297</f>
        <v>12.55</v>
      </c>
    </row>
    <row r="298" spans="1:5">
      <c r="A298" t="str">
        <f>Sheet1!A298</f>
        <v>C297</v>
      </c>
      <c r="B298" t="str">
        <f>Sheet1!B298</f>
        <v>Miller LLC</v>
      </c>
      <c r="C298">
        <f>Sheet1!H298</f>
        <v>0.16</v>
      </c>
      <c r="D298" s="2">
        <f>Sheet1!I298/Sheet1!J298</f>
        <v>0.10648444489363534</v>
      </c>
      <c r="E298" s="2">
        <f>Sheet1!G298</f>
        <v>2.3199999999999998</v>
      </c>
    </row>
    <row r="299" spans="1:5">
      <c r="A299" t="str">
        <f>Sheet1!A299</f>
        <v>C298</v>
      </c>
      <c r="B299" t="str">
        <f>Sheet1!B299</f>
        <v>Christian Inc</v>
      </c>
      <c r="C299">
        <f>Sheet1!H299</f>
        <v>0.14000000000000001</v>
      </c>
      <c r="D299" s="2">
        <f>Sheet1!I299/Sheet1!J299</f>
        <v>0.53664269496594286</v>
      </c>
      <c r="E299" s="2">
        <f>Sheet1!G299</f>
        <v>21.59</v>
      </c>
    </row>
    <row r="300" spans="1:5">
      <c r="A300" t="str">
        <f>Sheet1!A300</f>
        <v>C299</v>
      </c>
      <c r="B300" t="str">
        <f>Sheet1!B300</f>
        <v>Herrera-Abbott</v>
      </c>
      <c r="C300">
        <f>Sheet1!H300</f>
        <v>0.26</v>
      </c>
      <c r="D300" s="2">
        <f>Sheet1!I300/Sheet1!J300</f>
        <v>0.94865878962309091</v>
      </c>
      <c r="E300" s="2">
        <f>Sheet1!G300</f>
        <v>14.09</v>
      </c>
    </row>
    <row r="301" spans="1:5">
      <c r="A301" t="str">
        <f>Sheet1!A301</f>
        <v>C300</v>
      </c>
      <c r="B301" t="str">
        <f>Sheet1!B301</f>
        <v>Ingram, Gonzalez and Everett</v>
      </c>
      <c r="C301">
        <f>Sheet1!H301</f>
        <v>1.06</v>
      </c>
      <c r="D301" s="2">
        <f>Sheet1!I301/Sheet1!J301</f>
        <v>3.2680398685209671</v>
      </c>
      <c r="E301" s="2">
        <f>Sheet1!G301</f>
        <v>12.83</v>
      </c>
    </row>
    <row r="302" spans="1:5">
      <c r="A302" t="str">
        <f>Sheet1!A302</f>
        <v>C301</v>
      </c>
      <c r="B302" t="str">
        <f>Sheet1!B302</f>
        <v>Sharp-Foster</v>
      </c>
      <c r="C302">
        <f>Sheet1!H302</f>
        <v>0.28999999999999998</v>
      </c>
      <c r="D302" s="2">
        <f>Sheet1!I302/Sheet1!J302</f>
        <v>1.3048625515373151</v>
      </c>
      <c r="E302" s="2">
        <f>Sheet1!G302</f>
        <v>16.22</v>
      </c>
    </row>
    <row r="303" spans="1:5">
      <c r="A303" t="str">
        <f>Sheet1!A303</f>
        <v>C302</v>
      </c>
      <c r="B303" t="str">
        <f>Sheet1!B303</f>
        <v>Kennedy Ltd</v>
      </c>
      <c r="C303">
        <f>Sheet1!H303</f>
        <v>0.97</v>
      </c>
      <c r="D303" s="2">
        <f>Sheet1!I303/Sheet1!J303</f>
        <v>0.54172446456578904</v>
      </c>
      <c r="E303" s="2">
        <f>Sheet1!G303</f>
        <v>11.97</v>
      </c>
    </row>
    <row r="304" spans="1:5">
      <c r="A304" t="str">
        <f>Sheet1!A304</f>
        <v>C303</v>
      </c>
      <c r="B304" t="str">
        <f>Sheet1!B304</f>
        <v>Wade-Davis</v>
      </c>
      <c r="C304">
        <f>Sheet1!H304</f>
        <v>1.04</v>
      </c>
      <c r="D304" s="2">
        <f>Sheet1!I304/Sheet1!J304</f>
        <v>0.43962890019077194</v>
      </c>
      <c r="E304" s="2">
        <f>Sheet1!G304</f>
        <v>14.48</v>
      </c>
    </row>
    <row r="305" spans="1:5">
      <c r="A305" t="str">
        <f>Sheet1!A305</f>
        <v>C304</v>
      </c>
      <c r="B305" t="str">
        <f>Sheet1!B305</f>
        <v>Rogers, Michael and Molina</v>
      </c>
      <c r="C305">
        <f>Sheet1!H305</f>
        <v>1.05</v>
      </c>
      <c r="D305" s="2">
        <f>Sheet1!I305/Sheet1!J305</f>
        <v>0.30598385323162208</v>
      </c>
      <c r="E305" s="2">
        <f>Sheet1!G305</f>
        <v>11.37</v>
      </c>
    </row>
    <row r="306" spans="1:5">
      <c r="A306" t="str">
        <f>Sheet1!A306</f>
        <v>C305</v>
      </c>
      <c r="B306" t="str">
        <f>Sheet1!B306</f>
        <v>Guzman-Pham</v>
      </c>
      <c r="C306">
        <f>Sheet1!H306</f>
        <v>0.16</v>
      </c>
      <c r="D306" s="2">
        <f>Sheet1!I306/Sheet1!J306</f>
        <v>1.1557608264828665</v>
      </c>
      <c r="E306" s="2">
        <f>Sheet1!G306</f>
        <v>5.61</v>
      </c>
    </row>
    <row r="307" spans="1:5">
      <c r="A307" t="str">
        <f>Sheet1!A307</f>
        <v>C306</v>
      </c>
      <c r="B307" t="str">
        <f>Sheet1!B307</f>
        <v>Smith, Stewart and Villegas</v>
      </c>
      <c r="C307">
        <f>Sheet1!H307</f>
        <v>0.9</v>
      </c>
      <c r="D307" s="2">
        <f>Sheet1!I307/Sheet1!J307</f>
        <v>1.3787956834161794</v>
      </c>
      <c r="E307" s="2">
        <f>Sheet1!G307</f>
        <v>20.94</v>
      </c>
    </row>
    <row r="308" spans="1:5">
      <c r="A308" t="str">
        <f>Sheet1!A308</f>
        <v>C307</v>
      </c>
      <c r="B308" t="str">
        <f>Sheet1!B308</f>
        <v>Pittman, Ruiz and Gill</v>
      </c>
      <c r="C308">
        <f>Sheet1!H308</f>
        <v>0.98</v>
      </c>
      <c r="D308" s="2">
        <f>Sheet1!I308/Sheet1!J308</f>
        <v>4.4897003415613224</v>
      </c>
      <c r="E308" s="2">
        <f>Sheet1!G308</f>
        <v>14.84</v>
      </c>
    </row>
    <row r="309" spans="1:5">
      <c r="A309" t="str">
        <f>Sheet1!A309</f>
        <v>C308</v>
      </c>
      <c r="B309" t="str">
        <f>Sheet1!B309</f>
        <v>Gregory-Nguyen</v>
      </c>
      <c r="C309">
        <f>Sheet1!H309</f>
        <v>1.19</v>
      </c>
      <c r="D309" s="2">
        <f>Sheet1!I309/Sheet1!J309</f>
        <v>3.3182118032909083</v>
      </c>
      <c r="E309" s="2">
        <f>Sheet1!G309</f>
        <v>10.69</v>
      </c>
    </row>
    <row r="310" spans="1:5">
      <c r="A310" t="str">
        <f>Sheet1!A310</f>
        <v>C309</v>
      </c>
      <c r="B310" t="str">
        <f>Sheet1!B310</f>
        <v>Schmitt Ltd</v>
      </c>
      <c r="C310">
        <f>Sheet1!H310</f>
        <v>0.98</v>
      </c>
      <c r="D310" s="2">
        <f>Sheet1!I310/Sheet1!J310</f>
        <v>0.20334171717973007</v>
      </c>
      <c r="E310" s="2">
        <f>Sheet1!G310</f>
        <v>2.35</v>
      </c>
    </row>
    <row r="311" spans="1:5">
      <c r="A311" t="str">
        <f>Sheet1!A311</f>
        <v>C310</v>
      </c>
      <c r="B311" t="str">
        <f>Sheet1!B311</f>
        <v>Williams Inc</v>
      </c>
      <c r="C311">
        <f>Sheet1!H311</f>
        <v>1.0900000000000001</v>
      </c>
      <c r="D311" s="2">
        <f>Sheet1!I311/Sheet1!J311</f>
        <v>0.98198789947726961</v>
      </c>
      <c r="E311" s="2">
        <f>Sheet1!G311</f>
        <v>18.39</v>
      </c>
    </row>
    <row r="312" spans="1:5">
      <c r="A312" t="str">
        <f>Sheet1!A312</f>
        <v>C311</v>
      </c>
      <c r="B312" t="str">
        <f>Sheet1!B312</f>
        <v>Rivera PLC</v>
      </c>
      <c r="C312">
        <f>Sheet1!H312</f>
        <v>0.56999999999999995</v>
      </c>
      <c r="D312" s="2">
        <f>Sheet1!I312/Sheet1!J312</f>
        <v>3.6377963162468809E-2</v>
      </c>
      <c r="E312" s="2">
        <f>Sheet1!G312</f>
        <v>10</v>
      </c>
    </row>
    <row r="313" spans="1:5">
      <c r="A313" t="str">
        <f>Sheet1!A313</f>
        <v>C312</v>
      </c>
      <c r="B313" t="str">
        <f>Sheet1!B313</f>
        <v>Martin PLC</v>
      </c>
      <c r="C313">
        <f>Sheet1!H313</f>
        <v>1.08</v>
      </c>
      <c r="D313" s="2">
        <f>Sheet1!I313/Sheet1!J313</f>
        <v>-7.9569755774198961E-2</v>
      </c>
      <c r="E313" s="2">
        <f>Sheet1!G313</f>
        <v>20.440000000000001</v>
      </c>
    </row>
    <row r="314" spans="1:5">
      <c r="A314" t="str">
        <f>Sheet1!A314</f>
        <v>C313</v>
      </c>
      <c r="B314" t="str">
        <f>Sheet1!B314</f>
        <v>Hansen-Reed</v>
      </c>
      <c r="C314">
        <f>Sheet1!H314</f>
        <v>0.13</v>
      </c>
      <c r="D314" s="2">
        <f>Sheet1!I314/Sheet1!J314</f>
        <v>2.1722729487532573</v>
      </c>
      <c r="E314" s="2">
        <f>Sheet1!G314</f>
        <v>5.71</v>
      </c>
    </row>
    <row r="315" spans="1:5">
      <c r="A315" t="str">
        <f>Sheet1!A315</f>
        <v>C314</v>
      </c>
      <c r="B315" t="str">
        <f>Sheet1!B315</f>
        <v>Sullivan, Cross and Lozano</v>
      </c>
      <c r="C315">
        <f>Sheet1!H315</f>
        <v>0.33</v>
      </c>
      <c r="D315" s="2">
        <f>Sheet1!I315/Sheet1!J315</f>
        <v>7.8062074391600422</v>
      </c>
      <c r="E315" s="2">
        <f>Sheet1!G315</f>
        <v>16.989999999999998</v>
      </c>
    </row>
    <row r="316" spans="1:5">
      <c r="A316" t="str">
        <f>Sheet1!A316</f>
        <v>C315</v>
      </c>
      <c r="B316" t="str">
        <f>Sheet1!B316</f>
        <v>Hess, Evans and Branch</v>
      </c>
      <c r="C316">
        <f>Sheet1!H316</f>
        <v>0.13</v>
      </c>
      <c r="D316" s="2">
        <f>Sheet1!I316/Sheet1!J316</f>
        <v>0.81154513723321065</v>
      </c>
      <c r="E316" s="2">
        <f>Sheet1!G316</f>
        <v>20.100000000000001</v>
      </c>
    </row>
    <row r="317" spans="1:5">
      <c r="A317" t="str">
        <f>Sheet1!A317</f>
        <v>C316</v>
      </c>
      <c r="B317" t="str">
        <f>Sheet1!B317</f>
        <v>Hall-Ford</v>
      </c>
      <c r="C317">
        <f>Sheet1!H317</f>
        <v>0.67</v>
      </c>
      <c r="D317" s="2">
        <f>Sheet1!I317/Sheet1!J317</f>
        <v>0.34939162444711225</v>
      </c>
      <c r="E317" s="2">
        <f>Sheet1!G317</f>
        <v>17.82</v>
      </c>
    </row>
    <row r="318" spans="1:5">
      <c r="A318" t="str">
        <f>Sheet1!A318</f>
        <v>C317</v>
      </c>
      <c r="B318" t="str">
        <f>Sheet1!B318</f>
        <v>Sullivan-Hood</v>
      </c>
      <c r="C318">
        <f>Sheet1!H318</f>
        <v>0.62</v>
      </c>
      <c r="D318" s="2">
        <f>Sheet1!I318/Sheet1!J318</f>
        <v>0.71975492412351127</v>
      </c>
      <c r="E318" s="2">
        <f>Sheet1!G318</f>
        <v>18.52</v>
      </c>
    </row>
    <row r="319" spans="1:5">
      <c r="A319" t="str">
        <f>Sheet1!A319</f>
        <v>C318</v>
      </c>
      <c r="B319" t="str">
        <f>Sheet1!B319</f>
        <v>Lopez Inc</v>
      </c>
      <c r="C319">
        <f>Sheet1!H319</f>
        <v>0.77</v>
      </c>
      <c r="D319" s="2">
        <f>Sheet1!I319/Sheet1!J319</f>
        <v>1.0915204345492691</v>
      </c>
      <c r="E319" s="2">
        <f>Sheet1!G319</f>
        <v>4.3600000000000003</v>
      </c>
    </row>
    <row r="320" spans="1:5">
      <c r="A320" t="str">
        <f>Sheet1!A320</f>
        <v>C319</v>
      </c>
      <c r="B320" t="str">
        <f>Sheet1!B320</f>
        <v>Perry PLC</v>
      </c>
      <c r="C320">
        <f>Sheet1!H320</f>
        <v>0.52</v>
      </c>
      <c r="D320" s="2">
        <f>Sheet1!I320/Sheet1!J320</f>
        <v>1.0630382424566096</v>
      </c>
      <c r="E320" s="2">
        <f>Sheet1!G320</f>
        <v>11.93</v>
      </c>
    </row>
    <row r="321" spans="1:5">
      <c r="A321" t="str">
        <f>Sheet1!A321</f>
        <v>C320</v>
      </c>
      <c r="B321" t="str">
        <f>Sheet1!B321</f>
        <v>Brown LLC</v>
      </c>
      <c r="C321">
        <f>Sheet1!H321</f>
        <v>0.68</v>
      </c>
      <c r="D321" s="2">
        <f>Sheet1!I321/Sheet1!J321</f>
        <v>-0.10097221493643882</v>
      </c>
      <c r="E321" s="2">
        <f>Sheet1!G321</f>
        <v>19.850000000000001</v>
      </c>
    </row>
    <row r="322" spans="1:5">
      <c r="A322" t="str">
        <f>Sheet1!A322</f>
        <v>C321</v>
      </c>
      <c r="B322" t="str">
        <f>Sheet1!B322</f>
        <v>Robinson, Pittman and Stewart</v>
      </c>
      <c r="C322">
        <f>Sheet1!H322</f>
        <v>1.1399999999999999</v>
      </c>
      <c r="D322" s="2">
        <f>Sheet1!I322/Sheet1!J322</f>
        <v>0.84823735756020446</v>
      </c>
      <c r="E322" s="2">
        <f>Sheet1!G322</f>
        <v>16.52</v>
      </c>
    </row>
    <row r="323" spans="1:5">
      <c r="A323" t="str">
        <f>Sheet1!A323</f>
        <v>C322</v>
      </c>
      <c r="B323" t="str">
        <f>Sheet1!B323</f>
        <v>Edwards-Ho</v>
      </c>
      <c r="C323">
        <f>Sheet1!H323</f>
        <v>0.88</v>
      </c>
      <c r="D323" s="2">
        <f>Sheet1!I323/Sheet1!J323</f>
        <v>0.93107418581950485</v>
      </c>
      <c r="E323" s="2">
        <f>Sheet1!G323</f>
        <v>22.23</v>
      </c>
    </row>
    <row r="324" spans="1:5">
      <c r="A324" t="str">
        <f>Sheet1!A324</f>
        <v>C323</v>
      </c>
      <c r="B324" t="str">
        <f>Sheet1!B324</f>
        <v>Vargas-Martin</v>
      </c>
      <c r="C324">
        <f>Sheet1!H324</f>
        <v>0.36</v>
      </c>
      <c r="D324" s="2">
        <f>Sheet1!I324/Sheet1!J324</f>
        <v>2.4030913680853891</v>
      </c>
      <c r="E324" s="2">
        <f>Sheet1!G324</f>
        <v>18.010000000000002</v>
      </c>
    </row>
    <row r="325" spans="1:5">
      <c r="A325" t="str">
        <f>Sheet1!A325</f>
        <v>C324</v>
      </c>
      <c r="B325" t="str">
        <f>Sheet1!B325</f>
        <v>Barnes-Mitchell</v>
      </c>
      <c r="C325">
        <f>Sheet1!H325</f>
        <v>1.1200000000000001</v>
      </c>
      <c r="D325" s="2">
        <f>Sheet1!I325/Sheet1!J325</f>
        <v>3.3625820703196904E-2</v>
      </c>
      <c r="E325" s="2">
        <f>Sheet1!G325</f>
        <v>17.11</v>
      </c>
    </row>
    <row r="326" spans="1:5">
      <c r="A326" t="str">
        <f>Sheet1!A326</f>
        <v>C325</v>
      </c>
      <c r="B326" t="str">
        <f>Sheet1!B326</f>
        <v>Williams Inc</v>
      </c>
      <c r="C326">
        <f>Sheet1!H326</f>
        <v>1.18</v>
      </c>
      <c r="D326" s="2">
        <f>Sheet1!I326/Sheet1!J326</f>
        <v>8.2610645323477061E-2</v>
      </c>
      <c r="E326" s="2">
        <f>Sheet1!G326</f>
        <v>21.32</v>
      </c>
    </row>
    <row r="327" spans="1:5">
      <c r="A327" t="str">
        <f>Sheet1!A327</f>
        <v>C326</v>
      </c>
      <c r="B327" t="str">
        <f>Sheet1!B327</f>
        <v>Reese-Miller</v>
      </c>
      <c r="C327">
        <f>Sheet1!H327</f>
        <v>0.6</v>
      </c>
      <c r="D327" s="2">
        <f>Sheet1!I327/Sheet1!J327</f>
        <v>0.65132676269901435</v>
      </c>
      <c r="E327" s="2">
        <f>Sheet1!G327</f>
        <v>15.84</v>
      </c>
    </row>
    <row r="328" spans="1:5">
      <c r="A328" t="str">
        <f>Sheet1!A328</f>
        <v>C327</v>
      </c>
      <c r="B328" t="str">
        <f>Sheet1!B328</f>
        <v>Boyd, Smith and Oliver</v>
      </c>
      <c r="C328">
        <f>Sheet1!H328</f>
        <v>1.02</v>
      </c>
      <c r="D328" s="2">
        <f>Sheet1!I328/Sheet1!J328</f>
        <v>1.0360293125213373</v>
      </c>
      <c r="E328" s="2">
        <f>Sheet1!G328</f>
        <v>11.47</v>
      </c>
    </row>
    <row r="329" spans="1:5">
      <c r="A329" t="str">
        <f>Sheet1!A329</f>
        <v>C328</v>
      </c>
      <c r="B329" t="str">
        <f>Sheet1!B329</f>
        <v>Rodriguez PLC</v>
      </c>
      <c r="C329">
        <f>Sheet1!H329</f>
        <v>0.55000000000000004</v>
      </c>
      <c r="D329" s="2">
        <f>Sheet1!I329/Sheet1!J329</f>
        <v>0.82595078205631312</v>
      </c>
      <c r="E329" s="2">
        <f>Sheet1!G329</f>
        <v>7.48</v>
      </c>
    </row>
    <row r="330" spans="1:5">
      <c r="A330" t="str">
        <f>Sheet1!A330</f>
        <v>C329</v>
      </c>
      <c r="B330" t="str">
        <f>Sheet1!B330</f>
        <v>Harris-Woodard</v>
      </c>
      <c r="C330">
        <f>Sheet1!H330</f>
        <v>1.1599999999999999</v>
      </c>
      <c r="D330" s="2">
        <f>Sheet1!I330/Sheet1!J330</f>
        <v>0.7394367905826339</v>
      </c>
      <c r="E330" s="2">
        <f>Sheet1!G330</f>
        <v>3.56</v>
      </c>
    </row>
    <row r="331" spans="1:5">
      <c r="A331" t="str">
        <f>Sheet1!A331</f>
        <v>C330</v>
      </c>
      <c r="B331" t="str">
        <f>Sheet1!B331</f>
        <v>Ramirez-Vasquez</v>
      </c>
      <c r="C331">
        <f>Sheet1!H331</f>
        <v>0.4</v>
      </c>
      <c r="D331" s="2">
        <f>Sheet1!I331/Sheet1!J331</f>
        <v>0.58719263047391113</v>
      </c>
      <c r="E331" s="2">
        <f>Sheet1!G331</f>
        <v>12.56</v>
      </c>
    </row>
    <row r="332" spans="1:5">
      <c r="A332" t="str">
        <f>Sheet1!A332</f>
        <v>C331</v>
      </c>
      <c r="B332" t="str">
        <f>Sheet1!B332</f>
        <v>Munoz Inc</v>
      </c>
      <c r="C332">
        <f>Sheet1!H332</f>
        <v>0.44</v>
      </c>
      <c r="D332" s="2">
        <f>Sheet1!I332/Sheet1!J332</f>
        <v>0.17200420248866125</v>
      </c>
      <c r="E332" s="2">
        <f>Sheet1!G332</f>
        <v>21.19</v>
      </c>
    </row>
    <row r="333" spans="1:5">
      <c r="A333" t="str">
        <f>Sheet1!A333</f>
        <v>C332</v>
      </c>
      <c r="B333" t="str">
        <f>Sheet1!B333</f>
        <v>Brown-Harrison</v>
      </c>
      <c r="C333">
        <f>Sheet1!H333</f>
        <v>1</v>
      </c>
      <c r="D333" s="2">
        <f>Sheet1!I333/Sheet1!J333</f>
        <v>-0.10101648300596511</v>
      </c>
      <c r="E333" s="2">
        <f>Sheet1!G333</f>
        <v>5.96</v>
      </c>
    </row>
    <row r="334" spans="1:5">
      <c r="A334" t="str">
        <f>Sheet1!A334</f>
        <v>C333</v>
      </c>
      <c r="B334" t="str">
        <f>Sheet1!B334</f>
        <v>Taylor LLC</v>
      </c>
      <c r="C334">
        <f>Sheet1!H334</f>
        <v>0.37</v>
      </c>
      <c r="D334" s="2">
        <f>Sheet1!I334/Sheet1!J334</f>
        <v>0.57210713886146225</v>
      </c>
      <c r="E334" s="2">
        <f>Sheet1!G334</f>
        <v>3.36</v>
      </c>
    </row>
    <row r="335" spans="1:5">
      <c r="A335" t="str">
        <f>Sheet1!A335</f>
        <v>C334</v>
      </c>
      <c r="B335" t="str">
        <f>Sheet1!B335</f>
        <v>Richards-Kim</v>
      </c>
      <c r="C335">
        <f>Sheet1!H335</f>
        <v>1.1100000000000001</v>
      </c>
      <c r="D335" s="2">
        <f>Sheet1!I335/Sheet1!J335</f>
        <v>0.27941616258222224</v>
      </c>
      <c r="E335" s="2">
        <f>Sheet1!G335</f>
        <v>11.2</v>
      </c>
    </row>
    <row r="336" spans="1:5">
      <c r="A336" t="str">
        <f>Sheet1!A336</f>
        <v>C335</v>
      </c>
      <c r="B336" t="str">
        <f>Sheet1!B336</f>
        <v>Gibson, Flores and Singh</v>
      </c>
      <c r="C336">
        <f>Sheet1!H336</f>
        <v>0.72</v>
      </c>
      <c r="D336" s="2">
        <f>Sheet1!I336/Sheet1!J336</f>
        <v>1.1319482689221121</v>
      </c>
      <c r="E336" s="2">
        <f>Sheet1!G336</f>
        <v>22.63</v>
      </c>
    </row>
    <row r="337" spans="1:5">
      <c r="A337" t="str">
        <f>Sheet1!A337</f>
        <v>C336</v>
      </c>
      <c r="B337" t="str">
        <f>Sheet1!B337</f>
        <v>Fields Ltd</v>
      </c>
      <c r="C337">
        <f>Sheet1!H337</f>
        <v>0.42</v>
      </c>
      <c r="D337" s="2">
        <f>Sheet1!I337/Sheet1!J337</f>
        <v>1.0211806148259648</v>
      </c>
      <c r="E337" s="2">
        <f>Sheet1!G337</f>
        <v>23.28</v>
      </c>
    </row>
    <row r="338" spans="1:5">
      <c r="A338" t="str">
        <f>Sheet1!A338</f>
        <v>C337</v>
      </c>
      <c r="B338" t="str">
        <f>Sheet1!B338</f>
        <v>Kim-Woodard</v>
      </c>
      <c r="C338">
        <f>Sheet1!H338</f>
        <v>0.49</v>
      </c>
      <c r="D338" s="2">
        <f>Sheet1!I338/Sheet1!J338</f>
        <v>-5.8931045823875428E-2</v>
      </c>
      <c r="E338" s="2">
        <f>Sheet1!G338</f>
        <v>5.22</v>
      </c>
    </row>
    <row r="339" spans="1:5">
      <c r="A339" t="str">
        <f>Sheet1!A339</f>
        <v>C338</v>
      </c>
      <c r="B339" t="str">
        <f>Sheet1!B339</f>
        <v>Knapp LLC</v>
      </c>
      <c r="C339">
        <f>Sheet1!H339</f>
        <v>1.1599999999999999</v>
      </c>
      <c r="D339" s="2">
        <f>Sheet1!I339/Sheet1!J339</f>
        <v>6.8421450140294326E-2</v>
      </c>
      <c r="E339" s="2">
        <f>Sheet1!G339</f>
        <v>7.14</v>
      </c>
    </row>
    <row r="340" spans="1:5">
      <c r="A340" t="str">
        <f>Sheet1!A340</f>
        <v>C339</v>
      </c>
      <c r="B340" t="str">
        <f>Sheet1!B340</f>
        <v>Gray Group</v>
      </c>
      <c r="C340">
        <f>Sheet1!H340</f>
        <v>0.57999999999999996</v>
      </c>
      <c r="D340" s="2">
        <f>Sheet1!I340/Sheet1!J340</f>
        <v>1.487364409042111</v>
      </c>
      <c r="E340" s="2">
        <f>Sheet1!G340</f>
        <v>18.489999999999998</v>
      </c>
    </row>
    <row r="341" spans="1:5">
      <c r="A341" t="str">
        <f>Sheet1!A341</f>
        <v>C340</v>
      </c>
      <c r="B341" t="str">
        <f>Sheet1!B341</f>
        <v>Collins, Fitzpatrick and Callahan</v>
      </c>
      <c r="C341">
        <f>Sheet1!H341</f>
        <v>1.1399999999999999</v>
      </c>
      <c r="D341" s="2">
        <f>Sheet1!I341/Sheet1!J341</f>
        <v>7.603571563694147</v>
      </c>
      <c r="E341" s="2">
        <f>Sheet1!G341</f>
        <v>10.18</v>
      </c>
    </row>
    <row r="342" spans="1:5">
      <c r="A342" t="str">
        <f>Sheet1!A342</f>
        <v>C341</v>
      </c>
      <c r="B342" t="str">
        <f>Sheet1!B342</f>
        <v>Brock Inc</v>
      </c>
      <c r="C342">
        <f>Sheet1!H342</f>
        <v>0.14000000000000001</v>
      </c>
      <c r="D342" s="2">
        <f>Sheet1!I342/Sheet1!J342</f>
        <v>0.55066581939846293</v>
      </c>
      <c r="E342" s="2">
        <f>Sheet1!G342</f>
        <v>19.73</v>
      </c>
    </row>
    <row r="343" spans="1:5">
      <c r="A343" t="str">
        <f>Sheet1!A343</f>
        <v>C342</v>
      </c>
      <c r="B343" t="str">
        <f>Sheet1!B343</f>
        <v>Mcneil-Sims</v>
      </c>
      <c r="C343">
        <f>Sheet1!H343</f>
        <v>0.5</v>
      </c>
      <c r="D343" s="2">
        <f>Sheet1!I343/Sheet1!J343</f>
        <v>1.9619218038699389</v>
      </c>
      <c r="E343" s="2">
        <f>Sheet1!G343</f>
        <v>9.56</v>
      </c>
    </row>
    <row r="344" spans="1:5">
      <c r="A344" t="str">
        <f>Sheet1!A344</f>
        <v>C343</v>
      </c>
      <c r="B344" t="str">
        <f>Sheet1!B344</f>
        <v>Smith, Arellano and Howard</v>
      </c>
      <c r="C344">
        <f>Sheet1!H344</f>
        <v>0.3</v>
      </c>
      <c r="D344" s="2">
        <f>Sheet1!I344/Sheet1!J344</f>
        <v>-4.9747045067833777E-2</v>
      </c>
      <c r="E344" s="2">
        <f>Sheet1!G344</f>
        <v>18.899999999999999</v>
      </c>
    </row>
    <row r="345" spans="1:5">
      <c r="A345" t="str">
        <f>Sheet1!A345</f>
        <v>C344</v>
      </c>
      <c r="B345" t="str">
        <f>Sheet1!B345</f>
        <v>Wilson, Martinez and Jefferson</v>
      </c>
      <c r="C345">
        <f>Sheet1!H345</f>
        <v>0.85</v>
      </c>
      <c r="D345" s="2">
        <f>Sheet1!I345/Sheet1!J345</f>
        <v>-7.9336585567735624E-2</v>
      </c>
      <c r="E345" s="2">
        <f>Sheet1!G345</f>
        <v>22.44</v>
      </c>
    </row>
    <row r="346" spans="1:5">
      <c r="A346" t="str">
        <f>Sheet1!A346</f>
        <v>C345</v>
      </c>
      <c r="B346" t="str">
        <f>Sheet1!B346</f>
        <v>West Ltd</v>
      </c>
      <c r="C346">
        <f>Sheet1!H346</f>
        <v>0.26</v>
      </c>
      <c r="D346" s="2">
        <f>Sheet1!I346/Sheet1!J346</f>
        <v>0.14590683709900465</v>
      </c>
      <c r="E346" s="2">
        <f>Sheet1!G346</f>
        <v>13.86</v>
      </c>
    </row>
    <row r="347" spans="1:5">
      <c r="A347" t="str">
        <f>Sheet1!A347</f>
        <v>C346</v>
      </c>
      <c r="B347" t="str">
        <f>Sheet1!B347</f>
        <v>Spencer-Johnson</v>
      </c>
      <c r="C347">
        <f>Sheet1!H347</f>
        <v>1.1599999999999999</v>
      </c>
      <c r="D347" s="2">
        <f>Sheet1!I347/Sheet1!J347</f>
        <v>0.98112549613518807</v>
      </c>
      <c r="E347" s="2">
        <f>Sheet1!G347</f>
        <v>19.440000000000001</v>
      </c>
    </row>
    <row r="348" spans="1:5">
      <c r="A348" t="str">
        <f>Sheet1!A348</f>
        <v>C347</v>
      </c>
      <c r="B348" t="str">
        <f>Sheet1!B348</f>
        <v>Haynes PLC</v>
      </c>
      <c r="C348">
        <f>Sheet1!H348</f>
        <v>0.26</v>
      </c>
      <c r="D348" s="2">
        <f>Sheet1!I348/Sheet1!J348</f>
        <v>0.40070676886503193</v>
      </c>
      <c r="E348" s="2">
        <f>Sheet1!G348</f>
        <v>13.5</v>
      </c>
    </row>
    <row r="349" spans="1:5">
      <c r="A349" t="str">
        <f>Sheet1!A349</f>
        <v>C348</v>
      </c>
      <c r="B349" t="str">
        <f>Sheet1!B349</f>
        <v>Martin Ltd</v>
      </c>
      <c r="C349">
        <f>Sheet1!H349</f>
        <v>1.17</v>
      </c>
      <c r="D349" s="2">
        <f>Sheet1!I349/Sheet1!J349</f>
        <v>-2.468672071451675E-2</v>
      </c>
      <c r="E349" s="2">
        <f>Sheet1!G349</f>
        <v>24.07</v>
      </c>
    </row>
    <row r="350" spans="1:5">
      <c r="A350" t="str">
        <f>Sheet1!A350</f>
        <v>C349</v>
      </c>
      <c r="B350" t="str">
        <f>Sheet1!B350</f>
        <v>Horne Inc</v>
      </c>
      <c r="C350">
        <f>Sheet1!H350</f>
        <v>0.24</v>
      </c>
      <c r="D350" s="2">
        <f>Sheet1!I350/Sheet1!J350</f>
        <v>1.0663908006889873</v>
      </c>
      <c r="E350" s="2">
        <f>Sheet1!G350</f>
        <v>20.329999999999998</v>
      </c>
    </row>
    <row r="351" spans="1:5">
      <c r="A351" t="str">
        <f>Sheet1!A351</f>
        <v>C350</v>
      </c>
      <c r="B351" t="str">
        <f>Sheet1!B351</f>
        <v>Martin LLC</v>
      </c>
      <c r="C351">
        <f>Sheet1!H351</f>
        <v>0.52</v>
      </c>
      <c r="D351" s="2">
        <f>Sheet1!I351/Sheet1!J351</f>
        <v>8.6576819407008079E-2</v>
      </c>
      <c r="E351" s="2">
        <f>Sheet1!G351</f>
        <v>18.72</v>
      </c>
    </row>
    <row r="352" spans="1:5">
      <c r="A352" t="str">
        <f>Sheet1!A352</f>
        <v>C351</v>
      </c>
      <c r="B352" t="str">
        <f>Sheet1!B352</f>
        <v>Preston, Mcmahon and Rodriguez</v>
      </c>
      <c r="C352">
        <f>Sheet1!H352</f>
        <v>0.31</v>
      </c>
      <c r="D352" s="2">
        <f>Sheet1!I352/Sheet1!J352</f>
        <v>5.5643148580416163E-2</v>
      </c>
      <c r="E352" s="2">
        <f>Sheet1!G352</f>
        <v>18.7</v>
      </c>
    </row>
    <row r="353" spans="1:5">
      <c r="A353" t="str">
        <f>Sheet1!A353</f>
        <v>C352</v>
      </c>
      <c r="B353" t="str">
        <f>Sheet1!B353</f>
        <v>Robinson PLC</v>
      </c>
      <c r="C353">
        <f>Sheet1!H353</f>
        <v>0.34</v>
      </c>
      <c r="D353" s="2">
        <f>Sheet1!I353/Sheet1!J353</f>
        <v>0.79639786106838639</v>
      </c>
      <c r="E353" s="2">
        <f>Sheet1!G353</f>
        <v>4.3499999999999996</v>
      </c>
    </row>
    <row r="354" spans="1:5">
      <c r="A354" t="str">
        <f>Sheet1!A354</f>
        <v>C353</v>
      </c>
      <c r="B354" t="str">
        <f>Sheet1!B354</f>
        <v>Ellis-Bowen</v>
      </c>
      <c r="C354">
        <f>Sheet1!H354</f>
        <v>0.53</v>
      </c>
      <c r="D354" s="2">
        <f>Sheet1!I354/Sheet1!J354</f>
        <v>0.81816788899405479</v>
      </c>
      <c r="E354" s="2">
        <f>Sheet1!G354</f>
        <v>9.5</v>
      </c>
    </row>
    <row r="355" spans="1:5">
      <c r="A355" t="str">
        <f>Sheet1!A355</f>
        <v>C354</v>
      </c>
      <c r="B355" t="str">
        <f>Sheet1!B355</f>
        <v>Williams-Martin</v>
      </c>
      <c r="C355">
        <f>Sheet1!H355</f>
        <v>0.32</v>
      </c>
      <c r="D355" s="2">
        <f>Sheet1!I355/Sheet1!J355</f>
        <v>1.5395759689160728</v>
      </c>
      <c r="E355" s="2">
        <f>Sheet1!G355</f>
        <v>4.6399999999999997</v>
      </c>
    </row>
    <row r="356" spans="1:5">
      <c r="A356" t="str">
        <f>Sheet1!A356</f>
        <v>C355</v>
      </c>
      <c r="B356" t="str">
        <f>Sheet1!B356</f>
        <v>Smith and Sons</v>
      </c>
      <c r="C356">
        <f>Sheet1!H356</f>
        <v>0.96</v>
      </c>
      <c r="D356" s="2">
        <f>Sheet1!I356/Sheet1!J356</f>
        <v>0.35049719478093277</v>
      </c>
      <c r="E356" s="2">
        <f>Sheet1!G356</f>
        <v>11.33</v>
      </c>
    </row>
    <row r="357" spans="1:5">
      <c r="A357" t="str">
        <f>Sheet1!A357</f>
        <v>C356</v>
      </c>
      <c r="B357" t="str">
        <f>Sheet1!B357</f>
        <v>Sims and Sons</v>
      </c>
      <c r="C357">
        <f>Sheet1!H357</f>
        <v>0.49</v>
      </c>
      <c r="D357" s="2">
        <f>Sheet1!I357/Sheet1!J357</f>
        <v>0.46516045962730673</v>
      </c>
      <c r="E357" s="2">
        <f>Sheet1!G357</f>
        <v>18.440000000000001</v>
      </c>
    </row>
    <row r="358" spans="1:5">
      <c r="A358" t="str">
        <f>Sheet1!A358</f>
        <v>C357</v>
      </c>
      <c r="B358" t="str">
        <f>Sheet1!B358</f>
        <v>Alvarez, Fitzpatrick and Burton</v>
      </c>
      <c r="C358">
        <f>Sheet1!H358</f>
        <v>0.64</v>
      </c>
      <c r="D358" s="2">
        <f>Sheet1!I358/Sheet1!J358</f>
        <v>1.8879844441464395</v>
      </c>
      <c r="E358" s="2">
        <f>Sheet1!G358</f>
        <v>13.24</v>
      </c>
    </row>
    <row r="359" spans="1:5">
      <c r="A359" t="str">
        <f>Sheet1!A359</f>
        <v>C358</v>
      </c>
      <c r="B359" t="str">
        <f>Sheet1!B359</f>
        <v>Mendez-Stewart</v>
      </c>
      <c r="C359">
        <f>Sheet1!H359</f>
        <v>0.24</v>
      </c>
      <c r="D359" s="2">
        <f>Sheet1!I359/Sheet1!J359</f>
        <v>1.0341768379651985</v>
      </c>
      <c r="E359" s="2">
        <f>Sheet1!G359</f>
        <v>13.22</v>
      </c>
    </row>
    <row r="360" spans="1:5">
      <c r="A360" t="str">
        <f>Sheet1!A360</f>
        <v>C359</v>
      </c>
      <c r="B360" t="str">
        <f>Sheet1!B360</f>
        <v>Hughes Ltd</v>
      </c>
      <c r="C360">
        <f>Sheet1!H360</f>
        <v>0.24</v>
      </c>
      <c r="D360" s="2">
        <f>Sheet1!I360/Sheet1!J360</f>
        <v>0.13601208973092499</v>
      </c>
      <c r="E360" s="2">
        <f>Sheet1!G360</f>
        <v>12.55</v>
      </c>
    </row>
    <row r="361" spans="1:5">
      <c r="A361" t="str">
        <f>Sheet1!A361</f>
        <v>C360</v>
      </c>
      <c r="B361" t="str">
        <f>Sheet1!B361</f>
        <v>Wilson-Cummings</v>
      </c>
      <c r="C361">
        <f>Sheet1!H361</f>
        <v>1.06</v>
      </c>
      <c r="D361" s="2">
        <f>Sheet1!I361/Sheet1!J361</f>
        <v>0.3468040187809574</v>
      </c>
      <c r="E361" s="2">
        <f>Sheet1!G361</f>
        <v>12.57</v>
      </c>
    </row>
    <row r="362" spans="1:5">
      <c r="A362" t="str">
        <f>Sheet1!A362</f>
        <v>C361</v>
      </c>
      <c r="B362" t="str">
        <f>Sheet1!B362</f>
        <v>Harris, Barrett and Middleton</v>
      </c>
      <c r="C362">
        <f>Sheet1!H362</f>
        <v>0.73</v>
      </c>
      <c r="D362" s="2">
        <f>Sheet1!I362/Sheet1!J362</f>
        <v>1.1505186272653467</v>
      </c>
      <c r="E362" s="2">
        <f>Sheet1!G362</f>
        <v>2.75</v>
      </c>
    </row>
    <row r="363" spans="1:5">
      <c r="A363" t="str">
        <f>Sheet1!A363</f>
        <v>C362</v>
      </c>
      <c r="B363" t="str">
        <f>Sheet1!B363</f>
        <v>Garcia-Pratt</v>
      </c>
      <c r="C363">
        <f>Sheet1!H363</f>
        <v>0.87</v>
      </c>
      <c r="D363" s="2">
        <f>Sheet1!I363/Sheet1!J363</f>
        <v>-2.7633700593658661E-2</v>
      </c>
      <c r="E363" s="2">
        <f>Sheet1!G363</f>
        <v>3.96</v>
      </c>
    </row>
    <row r="364" spans="1:5">
      <c r="A364" t="str">
        <f>Sheet1!A364</f>
        <v>C363</v>
      </c>
      <c r="B364" t="str">
        <f>Sheet1!B364</f>
        <v>Mendoza LLC</v>
      </c>
      <c r="C364">
        <f>Sheet1!H364</f>
        <v>0.12</v>
      </c>
      <c r="D364" s="2">
        <f>Sheet1!I364/Sheet1!J364</f>
        <v>1.1098218677159293</v>
      </c>
      <c r="E364" s="2">
        <f>Sheet1!G364</f>
        <v>21.44</v>
      </c>
    </row>
    <row r="365" spans="1:5">
      <c r="A365" t="str">
        <f>Sheet1!A365</f>
        <v>C364</v>
      </c>
      <c r="B365" t="str">
        <f>Sheet1!B365</f>
        <v>Lewis-Sampson</v>
      </c>
      <c r="C365">
        <f>Sheet1!H365</f>
        <v>0.66</v>
      </c>
      <c r="D365" s="2">
        <f>Sheet1!I365/Sheet1!J365</f>
        <v>0.8365238295957077</v>
      </c>
      <c r="E365" s="2">
        <f>Sheet1!G365</f>
        <v>3.06</v>
      </c>
    </row>
    <row r="366" spans="1:5">
      <c r="A366" t="str">
        <f>Sheet1!A366</f>
        <v>C365</v>
      </c>
      <c r="B366" t="str">
        <f>Sheet1!B366</f>
        <v>Herrera, Foley and Fleming</v>
      </c>
      <c r="C366">
        <f>Sheet1!H366</f>
        <v>0.76</v>
      </c>
      <c r="D366" s="2">
        <f>Sheet1!I366/Sheet1!J366</f>
        <v>1.2875297051769732</v>
      </c>
      <c r="E366" s="2">
        <f>Sheet1!G366</f>
        <v>14.63</v>
      </c>
    </row>
    <row r="367" spans="1:5">
      <c r="A367" t="str">
        <f>Sheet1!A367</f>
        <v>C366</v>
      </c>
      <c r="B367" t="str">
        <f>Sheet1!B367</f>
        <v>Willis Ltd</v>
      </c>
      <c r="C367">
        <f>Sheet1!H367</f>
        <v>0.26</v>
      </c>
      <c r="D367" s="2">
        <f>Sheet1!I367/Sheet1!J367</f>
        <v>1.4749267018947771</v>
      </c>
      <c r="E367" s="2">
        <f>Sheet1!G367</f>
        <v>6.77</v>
      </c>
    </row>
    <row r="368" spans="1:5">
      <c r="A368" t="str">
        <f>Sheet1!A368</f>
        <v>C367</v>
      </c>
      <c r="B368" t="str">
        <f>Sheet1!B368</f>
        <v>Hall-Murray</v>
      </c>
      <c r="C368">
        <f>Sheet1!H368</f>
        <v>0.59</v>
      </c>
      <c r="D368" s="2">
        <f>Sheet1!I368/Sheet1!J368</f>
        <v>1.8065950989186665</v>
      </c>
      <c r="E368" s="2">
        <f>Sheet1!G368</f>
        <v>21.84</v>
      </c>
    </row>
    <row r="369" spans="1:5">
      <c r="A369" t="str">
        <f>Sheet1!A369</f>
        <v>C368</v>
      </c>
      <c r="B369" t="str">
        <f>Sheet1!B369</f>
        <v>Gordon PLC</v>
      </c>
      <c r="C369">
        <f>Sheet1!H369</f>
        <v>0.76</v>
      </c>
      <c r="D369" s="2">
        <f>Sheet1!I369/Sheet1!J369</f>
        <v>-4.8108290720672568E-2</v>
      </c>
      <c r="E369" s="2">
        <f>Sheet1!G369</f>
        <v>22.25</v>
      </c>
    </row>
    <row r="370" spans="1:5">
      <c r="A370" t="str">
        <f>Sheet1!A370</f>
        <v>C369</v>
      </c>
      <c r="B370" t="str">
        <f>Sheet1!B370</f>
        <v>Schmidt, Sanchez and Vazquez</v>
      </c>
      <c r="C370">
        <f>Sheet1!H370</f>
        <v>0.33</v>
      </c>
      <c r="D370" s="2">
        <f>Sheet1!I370/Sheet1!J370</f>
        <v>0.11610916579255877</v>
      </c>
      <c r="E370" s="2">
        <f>Sheet1!G370</f>
        <v>8.2899999999999991</v>
      </c>
    </row>
    <row r="371" spans="1:5">
      <c r="A371" t="str">
        <f>Sheet1!A371</f>
        <v>C370</v>
      </c>
      <c r="B371" t="str">
        <f>Sheet1!B371</f>
        <v>White LLC</v>
      </c>
      <c r="C371">
        <f>Sheet1!H371</f>
        <v>1.08</v>
      </c>
      <c r="D371" s="2">
        <f>Sheet1!I371/Sheet1!J371</f>
        <v>0.15657652014465021</v>
      </c>
      <c r="E371" s="2">
        <f>Sheet1!G371</f>
        <v>16.8</v>
      </c>
    </row>
    <row r="372" spans="1:5">
      <c r="A372" t="str">
        <f>Sheet1!A372</f>
        <v>C371</v>
      </c>
      <c r="B372" t="str">
        <f>Sheet1!B372</f>
        <v>King and Sons</v>
      </c>
      <c r="C372">
        <f>Sheet1!H372</f>
        <v>0.23</v>
      </c>
      <c r="D372" s="2">
        <f>Sheet1!I372/Sheet1!J372</f>
        <v>0.43147238015143985</v>
      </c>
      <c r="E372" s="2">
        <f>Sheet1!G372</f>
        <v>4.26</v>
      </c>
    </row>
    <row r="373" spans="1:5">
      <c r="A373" t="str">
        <f>Sheet1!A373</f>
        <v>C372</v>
      </c>
      <c r="B373" t="str">
        <f>Sheet1!B373</f>
        <v>Hayes-Best</v>
      </c>
      <c r="C373">
        <f>Sheet1!H373</f>
        <v>0.83</v>
      </c>
      <c r="D373" s="2">
        <f>Sheet1!I373/Sheet1!J373</f>
        <v>4.1661475560012731</v>
      </c>
      <c r="E373" s="2">
        <f>Sheet1!G373</f>
        <v>23.33</v>
      </c>
    </row>
    <row r="374" spans="1:5">
      <c r="A374" t="str">
        <f>Sheet1!A374</f>
        <v>C373</v>
      </c>
      <c r="B374" t="str">
        <f>Sheet1!B374</f>
        <v>Thomas LLC</v>
      </c>
      <c r="C374">
        <f>Sheet1!H374</f>
        <v>0.65</v>
      </c>
      <c r="D374" s="2">
        <f>Sheet1!I374/Sheet1!J374</f>
        <v>1.4653517488699273</v>
      </c>
      <c r="E374" s="2">
        <f>Sheet1!G374</f>
        <v>21.21</v>
      </c>
    </row>
    <row r="375" spans="1:5">
      <c r="A375" t="str">
        <f>Sheet1!A375</f>
        <v>C374</v>
      </c>
      <c r="B375" t="str">
        <f>Sheet1!B375</f>
        <v>Avila-Thomas</v>
      </c>
      <c r="C375">
        <f>Sheet1!H375</f>
        <v>1.1100000000000001</v>
      </c>
      <c r="D375" s="2">
        <f>Sheet1!I375/Sheet1!J375</f>
        <v>0.92638479520276451</v>
      </c>
      <c r="E375" s="2">
        <f>Sheet1!G375</f>
        <v>23.01</v>
      </c>
    </row>
    <row r="376" spans="1:5">
      <c r="A376" t="str">
        <f>Sheet1!A376</f>
        <v>C375</v>
      </c>
      <c r="B376" t="str">
        <f>Sheet1!B376</f>
        <v>James, Mitchell and Bean</v>
      </c>
      <c r="C376">
        <f>Sheet1!H376</f>
        <v>0.28999999999999998</v>
      </c>
      <c r="D376" s="2">
        <f>Sheet1!I376/Sheet1!J376</f>
        <v>1.4719156560393318</v>
      </c>
      <c r="E376" s="2">
        <f>Sheet1!G376</f>
        <v>15.63</v>
      </c>
    </row>
    <row r="377" spans="1:5">
      <c r="A377" t="str">
        <f>Sheet1!A377</f>
        <v>C376</v>
      </c>
      <c r="B377" t="str">
        <f>Sheet1!B377</f>
        <v>Rangel-Roberts</v>
      </c>
      <c r="C377">
        <f>Sheet1!H377</f>
        <v>0.72</v>
      </c>
      <c r="D377" s="2">
        <f>Sheet1!I377/Sheet1!J377</f>
        <v>0.55186774172624631</v>
      </c>
      <c r="E377" s="2">
        <f>Sheet1!G377</f>
        <v>4.5199999999999996</v>
      </c>
    </row>
    <row r="378" spans="1:5">
      <c r="A378" t="str">
        <f>Sheet1!A378</f>
        <v>C377</v>
      </c>
      <c r="B378" t="str">
        <f>Sheet1!B378</f>
        <v>Campbell Ltd</v>
      </c>
      <c r="C378">
        <f>Sheet1!H378</f>
        <v>0.68</v>
      </c>
      <c r="D378" s="2">
        <f>Sheet1!I378/Sheet1!J378</f>
        <v>0.48280273422381847</v>
      </c>
      <c r="E378" s="2">
        <f>Sheet1!G378</f>
        <v>2.33</v>
      </c>
    </row>
    <row r="379" spans="1:5">
      <c r="A379" t="str">
        <f>Sheet1!A379</f>
        <v>C378</v>
      </c>
      <c r="B379" t="str">
        <f>Sheet1!B379</f>
        <v>Brown LLC</v>
      </c>
      <c r="C379">
        <f>Sheet1!H379</f>
        <v>1</v>
      </c>
      <c r="D379" s="2">
        <f>Sheet1!I379/Sheet1!J379</f>
        <v>2.1819721812106612</v>
      </c>
      <c r="E379" s="2">
        <f>Sheet1!G379</f>
        <v>4.7</v>
      </c>
    </row>
    <row r="380" spans="1:5">
      <c r="A380" t="str">
        <f>Sheet1!A380</f>
        <v>C379</v>
      </c>
      <c r="B380" t="str">
        <f>Sheet1!B380</f>
        <v>Gibson-Johnson</v>
      </c>
      <c r="C380">
        <f>Sheet1!H380</f>
        <v>0.74</v>
      </c>
      <c r="D380" s="2">
        <f>Sheet1!I380/Sheet1!J380</f>
        <v>2.6106189865298268</v>
      </c>
      <c r="E380" s="2">
        <f>Sheet1!G380</f>
        <v>3.71</v>
      </c>
    </row>
    <row r="381" spans="1:5">
      <c r="A381" t="str">
        <f>Sheet1!A381</f>
        <v>C380</v>
      </c>
      <c r="B381" t="str">
        <f>Sheet1!B381</f>
        <v>Ortega, Chavez and Walker</v>
      </c>
      <c r="C381">
        <f>Sheet1!H381</f>
        <v>0.53</v>
      </c>
      <c r="D381" s="2">
        <f>Sheet1!I381/Sheet1!J381</f>
        <v>4.4646056760276547E-2</v>
      </c>
      <c r="E381" s="2">
        <f>Sheet1!G381</f>
        <v>18.649999999999999</v>
      </c>
    </row>
    <row r="382" spans="1:5">
      <c r="A382" t="str">
        <f>Sheet1!A382</f>
        <v>C381</v>
      </c>
      <c r="B382" t="str">
        <f>Sheet1!B382</f>
        <v>Coleman-Brooks</v>
      </c>
      <c r="C382">
        <f>Sheet1!H382</f>
        <v>0.25</v>
      </c>
      <c r="D382" s="2">
        <f>Sheet1!I382/Sheet1!J382</f>
        <v>0.24476136578004151</v>
      </c>
      <c r="E382" s="2">
        <f>Sheet1!G382</f>
        <v>15.24</v>
      </c>
    </row>
    <row r="383" spans="1:5">
      <c r="A383" t="str">
        <f>Sheet1!A383</f>
        <v>C382</v>
      </c>
      <c r="B383" t="str">
        <f>Sheet1!B383</f>
        <v>Knox-Daniels</v>
      </c>
      <c r="C383">
        <f>Sheet1!H383</f>
        <v>0.18</v>
      </c>
      <c r="D383" s="2">
        <f>Sheet1!I383/Sheet1!J383</f>
        <v>6.1583438255010723</v>
      </c>
      <c r="E383" s="2">
        <f>Sheet1!G383</f>
        <v>19.82</v>
      </c>
    </row>
    <row r="384" spans="1:5">
      <c r="A384" t="str">
        <f>Sheet1!A384</f>
        <v>C383</v>
      </c>
      <c r="B384" t="str">
        <f>Sheet1!B384</f>
        <v>Thomas PLC</v>
      </c>
      <c r="C384">
        <f>Sheet1!H384</f>
        <v>0.67</v>
      </c>
      <c r="D384" s="2">
        <f>Sheet1!I384/Sheet1!J384</f>
        <v>1.4796253775283683</v>
      </c>
      <c r="E384" s="2">
        <f>Sheet1!G384</f>
        <v>5.19</v>
      </c>
    </row>
    <row r="385" spans="1:5">
      <c r="A385" t="str">
        <f>Sheet1!A385</f>
        <v>C384</v>
      </c>
      <c r="B385" t="str">
        <f>Sheet1!B385</f>
        <v>Dickson and Sons</v>
      </c>
      <c r="C385">
        <f>Sheet1!H385</f>
        <v>0.3</v>
      </c>
      <c r="D385" s="2">
        <f>Sheet1!I385/Sheet1!J385</f>
        <v>-8.2635887307831359E-3</v>
      </c>
      <c r="E385" s="2">
        <f>Sheet1!G385</f>
        <v>12.47</v>
      </c>
    </row>
    <row r="386" spans="1:5">
      <c r="A386" t="str">
        <f>Sheet1!A386</f>
        <v>C385</v>
      </c>
      <c r="B386" t="str">
        <f>Sheet1!B386</f>
        <v>Parsons Ltd</v>
      </c>
      <c r="C386">
        <f>Sheet1!H386</f>
        <v>0.22</v>
      </c>
      <c r="D386" s="2">
        <f>Sheet1!I386/Sheet1!J386</f>
        <v>0.57077848706782797</v>
      </c>
      <c r="E386" s="2">
        <f>Sheet1!G386</f>
        <v>3.91</v>
      </c>
    </row>
    <row r="387" spans="1:5">
      <c r="A387" t="str">
        <f>Sheet1!A387</f>
        <v>C386</v>
      </c>
      <c r="B387" t="str">
        <f>Sheet1!B387</f>
        <v>Duncan-Rodriguez</v>
      </c>
      <c r="C387">
        <f>Sheet1!H387</f>
        <v>1.1200000000000001</v>
      </c>
      <c r="D387" s="2">
        <f>Sheet1!I387/Sheet1!J387</f>
        <v>0.91595608348103552</v>
      </c>
      <c r="E387" s="2">
        <f>Sheet1!G387</f>
        <v>20.65</v>
      </c>
    </row>
    <row r="388" spans="1:5">
      <c r="A388" t="str">
        <f>Sheet1!A388</f>
        <v>C387</v>
      </c>
      <c r="B388" t="str">
        <f>Sheet1!B388</f>
        <v>Thornton, Hernandez and Gray</v>
      </c>
      <c r="C388">
        <f>Sheet1!H388</f>
        <v>0.16</v>
      </c>
      <c r="D388" s="2">
        <f>Sheet1!I388/Sheet1!J388</f>
        <v>-0.34115293601034374</v>
      </c>
      <c r="E388" s="2">
        <f>Sheet1!G388</f>
        <v>15.07</v>
      </c>
    </row>
    <row r="389" spans="1:5">
      <c r="A389" t="str">
        <f>Sheet1!A389</f>
        <v>C388</v>
      </c>
      <c r="B389" t="str">
        <f>Sheet1!B389</f>
        <v>Hill Group</v>
      </c>
      <c r="C389">
        <f>Sheet1!H389</f>
        <v>0.83</v>
      </c>
      <c r="D389" s="2">
        <f>Sheet1!I389/Sheet1!J389</f>
        <v>1.3211873844110116</v>
      </c>
      <c r="E389" s="2">
        <f>Sheet1!G389</f>
        <v>2.04</v>
      </c>
    </row>
    <row r="390" spans="1:5">
      <c r="A390" t="str">
        <f>Sheet1!A390</f>
        <v>C389</v>
      </c>
      <c r="B390" t="str">
        <f>Sheet1!B390</f>
        <v>Gonzalez, Howell and Castaneda</v>
      </c>
      <c r="C390">
        <f>Sheet1!H390</f>
        <v>0.66</v>
      </c>
      <c r="D390" s="2">
        <f>Sheet1!I390/Sheet1!J390</f>
        <v>0.44880395635112619</v>
      </c>
      <c r="E390" s="2">
        <f>Sheet1!G390</f>
        <v>17.91</v>
      </c>
    </row>
    <row r="391" spans="1:5">
      <c r="A391" t="str">
        <f>Sheet1!A391</f>
        <v>C390</v>
      </c>
      <c r="B391" t="str">
        <f>Sheet1!B391</f>
        <v>Martinez, Byrd and Lopez</v>
      </c>
      <c r="C391">
        <f>Sheet1!H391</f>
        <v>0.19</v>
      </c>
      <c r="D391" s="2">
        <f>Sheet1!I391/Sheet1!J391</f>
        <v>-0.64820438127068558</v>
      </c>
      <c r="E391" s="2">
        <f>Sheet1!G391</f>
        <v>16.72</v>
      </c>
    </row>
    <row r="392" spans="1:5">
      <c r="A392" t="str">
        <f>Sheet1!A392</f>
        <v>C391</v>
      </c>
      <c r="B392" t="str">
        <f>Sheet1!B392</f>
        <v>Neal, Clark and Martin</v>
      </c>
      <c r="C392">
        <f>Sheet1!H392</f>
        <v>1.18</v>
      </c>
      <c r="D392" s="2">
        <f>Sheet1!I392/Sheet1!J392</f>
        <v>2.9953316262802896</v>
      </c>
      <c r="E392" s="2">
        <f>Sheet1!G392</f>
        <v>9.17</v>
      </c>
    </row>
    <row r="393" spans="1:5">
      <c r="A393" t="str">
        <f>Sheet1!A393</f>
        <v>C392</v>
      </c>
      <c r="B393" t="str">
        <f>Sheet1!B393</f>
        <v>Williams LLC</v>
      </c>
      <c r="C393">
        <f>Sheet1!H393</f>
        <v>0.66</v>
      </c>
      <c r="D393" s="2">
        <f>Sheet1!I393/Sheet1!J393</f>
        <v>2.8940093993535467</v>
      </c>
      <c r="E393" s="2">
        <f>Sheet1!G393</f>
        <v>12.79</v>
      </c>
    </row>
    <row r="394" spans="1:5">
      <c r="A394" t="str">
        <f>Sheet1!A394</f>
        <v>C393</v>
      </c>
      <c r="B394" t="str">
        <f>Sheet1!B394</f>
        <v>Smith-Tran</v>
      </c>
      <c r="C394">
        <f>Sheet1!H394</f>
        <v>0.11</v>
      </c>
      <c r="D394" s="2">
        <f>Sheet1!I394/Sheet1!J394</f>
        <v>4.3340145237873573</v>
      </c>
      <c r="E394" s="2">
        <f>Sheet1!G394</f>
        <v>6.92</v>
      </c>
    </row>
    <row r="395" spans="1:5">
      <c r="A395" t="str">
        <f>Sheet1!A395</f>
        <v>C394</v>
      </c>
      <c r="B395" t="str">
        <f>Sheet1!B395</f>
        <v>Howard, Rodriguez and Carter</v>
      </c>
      <c r="C395">
        <f>Sheet1!H395</f>
        <v>0.99</v>
      </c>
      <c r="D395" s="2">
        <f>Sheet1!I395/Sheet1!J395</f>
        <v>0.21641492551806732</v>
      </c>
      <c r="E395" s="2">
        <f>Sheet1!G395</f>
        <v>14.29</v>
      </c>
    </row>
    <row r="396" spans="1:5">
      <c r="A396" t="str">
        <f>Sheet1!A396</f>
        <v>C395</v>
      </c>
      <c r="B396" t="str">
        <f>Sheet1!B396</f>
        <v>Martinez-Hernandez</v>
      </c>
      <c r="C396">
        <f>Sheet1!H396</f>
        <v>0.19</v>
      </c>
      <c r="D396" s="2">
        <f>Sheet1!I396/Sheet1!J396</f>
        <v>-0.25520137494880868</v>
      </c>
      <c r="E396" s="2">
        <f>Sheet1!G396</f>
        <v>11.79</v>
      </c>
    </row>
    <row r="397" spans="1:5">
      <c r="A397" t="str">
        <f>Sheet1!A397</f>
        <v>C396</v>
      </c>
      <c r="B397" t="str">
        <f>Sheet1!B397</f>
        <v>Fitzgerald PLC</v>
      </c>
      <c r="C397">
        <f>Sheet1!H397</f>
        <v>0.8</v>
      </c>
      <c r="D397" s="2">
        <f>Sheet1!I397/Sheet1!J397</f>
        <v>0.22499175068430852</v>
      </c>
      <c r="E397" s="2">
        <f>Sheet1!G397</f>
        <v>20.309999999999999</v>
      </c>
    </row>
    <row r="398" spans="1:5">
      <c r="A398" t="str">
        <f>Sheet1!A398</f>
        <v>C397</v>
      </c>
      <c r="B398" t="str">
        <f>Sheet1!B398</f>
        <v>Johnson-Hart</v>
      </c>
      <c r="C398">
        <f>Sheet1!H398</f>
        <v>0.16</v>
      </c>
      <c r="D398" s="2">
        <f>Sheet1!I398/Sheet1!J398</f>
        <v>1.1890840641365799</v>
      </c>
      <c r="E398" s="2">
        <f>Sheet1!G398</f>
        <v>2.79</v>
      </c>
    </row>
    <row r="399" spans="1:5">
      <c r="A399" t="str">
        <f>Sheet1!A399</f>
        <v>C398</v>
      </c>
      <c r="B399" t="str">
        <f>Sheet1!B399</f>
        <v>Grimes, Alvarado and Keller</v>
      </c>
      <c r="C399">
        <f>Sheet1!H399</f>
        <v>1.17</v>
      </c>
      <c r="D399" s="2">
        <f>Sheet1!I399/Sheet1!J399</f>
        <v>1.026870467560298</v>
      </c>
      <c r="E399" s="2">
        <f>Sheet1!G399</f>
        <v>21.56</v>
      </c>
    </row>
    <row r="400" spans="1:5">
      <c r="A400" t="str">
        <f>Sheet1!A400</f>
        <v>C399</v>
      </c>
      <c r="B400" t="str">
        <f>Sheet1!B400</f>
        <v>Turner-Levine</v>
      </c>
      <c r="C400">
        <f>Sheet1!H400</f>
        <v>0.51</v>
      </c>
      <c r="D400" s="2">
        <f>Sheet1!I400/Sheet1!J400</f>
        <v>0.27804642856414763</v>
      </c>
      <c r="E400" s="2">
        <f>Sheet1!G400</f>
        <v>3.83</v>
      </c>
    </row>
    <row r="401" spans="1:5">
      <c r="A401" t="str">
        <f>Sheet1!A401</f>
        <v>C400</v>
      </c>
      <c r="B401" t="str">
        <f>Sheet1!B401</f>
        <v>Evans-Hull</v>
      </c>
      <c r="C401">
        <f>Sheet1!H401</f>
        <v>0.98</v>
      </c>
      <c r="D401" s="2">
        <f>Sheet1!I401/Sheet1!J401</f>
        <v>0.25136047629867819</v>
      </c>
      <c r="E401" s="2">
        <f>Sheet1!G401</f>
        <v>20.46</v>
      </c>
    </row>
    <row r="402" spans="1:5">
      <c r="A402" t="str">
        <f>Sheet1!A402</f>
        <v>C401</v>
      </c>
      <c r="B402" t="str">
        <f>Sheet1!B402</f>
        <v>Romero, Young and Stewart</v>
      </c>
      <c r="C402">
        <f>Sheet1!H402</f>
        <v>0.48</v>
      </c>
      <c r="D402" s="2">
        <f>Sheet1!I402/Sheet1!J402</f>
        <v>1.6060958447183968</v>
      </c>
      <c r="E402" s="2">
        <f>Sheet1!G402</f>
        <v>24.31</v>
      </c>
    </row>
    <row r="403" spans="1:5">
      <c r="A403" t="str">
        <f>Sheet1!A403</f>
        <v>C402</v>
      </c>
      <c r="B403" t="str">
        <f>Sheet1!B403</f>
        <v>Thornton Inc</v>
      </c>
      <c r="C403">
        <f>Sheet1!H403</f>
        <v>1.02</v>
      </c>
      <c r="D403" s="2">
        <f>Sheet1!I403/Sheet1!J403</f>
        <v>-0.10544313426609564</v>
      </c>
      <c r="E403" s="2">
        <f>Sheet1!G403</f>
        <v>22.9</v>
      </c>
    </row>
    <row r="404" spans="1:5">
      <c r="A404" t="str">
        <f>Sheet1!A404</f>
        <v>C403</v>
      </c>
      <c r="B404" t="str">
        <f>Sheet1!B404</f>
        <v>Woodard, Diaz and Myers</v>
      </c>
      <c r="C404">
        <f>Sheet1!H404</f>
        <v>0.84</v>
      </c>
      <c r="D404" s="2">
        <f>Sheet1!I404/Sheet1!J404</f>
        <v>0.63374083322070995</v>
      </c>
      <c r="E404" s="2">
        <f>Sheet1!G404</f>
        <v>2.59</v>
      </c>
    </row>
    <row r="405" spans="1:5">
      <c r="A405" t="str">
        <f>Sheet1!A405</f>
        <v>C404</v>
      </c>
      <c r="B405" t="str">
        <f>Sheet1!B405</f>
        <v>Burgess-Walker</v>
      </c>
      <c r="C405">
        <f>Sheet1!H405</f>
        <v>1.07</v>
      </c>
      <c r="D405" s="2">
        <f>Sheet1!I405/Sheet1!J405</f>
        <v>0.30502582559370683</v>
      </c>
      <c r="E405" s="2">
        <f>Sheet1!G405</f>
        <v>5.78</v>
      </c>
    </row>
    <row r="406" spans="1:5">
      <c r="A406" t="str">
        <f>Sheet1!A406</f>
        <v>C405</v>
      </c>
      <c r="B406" t="str">
        <f>Sheet1!B406</f>
        <v>Carr Ltd</v>
      </c>
      <c r="C406">
        <f>Sheet1!H406</f>
        <v>0.43</v>
      </c>
      <c r="D406" s="2">
        <f>Sheet1!I406/Sheet1!J406</f>
        <v>3.9534002053550275</v>
      </c>
      <c r="E406" s="2">
        <f>Sheet1!G406</f>
        <v>8.1999999999999993</v>
      </c>
    </row>
    <row r="407" spans="1:5">
      <c r="A407" t="str">
        <f>Sheet1!A407</f>
        <v>C406</v>
      </c>
      <c r="B407" t="str">
        <f>Sheet1!B407</f>
        <v>Henderson-Vaughn</v>
      </c>
      <c r="C407">
        <f>Sheet1!H407</f>
        <v>1.1100000000000001</v>
      </c>
      <c r="D407" s="2">
        <f>Sheet1!I407/Sheet1!J407</f>
        <v>1.5745891390747566</v>
      </c>
      <c r="E407" s="2">
        <f>Sheet1!G407</f>
        <v>21.02</v>
      </c>
    </row>
    <row r="408" spans="1:5">
      <c r="A408" t="str">
        <f>Sheet1!A408</f>
        <v>C407</v>
      </c>
      <c r="B408" t="str">
        <f>Sheet1!B408</f>
        <v>Matthews and Sons</v>
      </c>
      <c r="C408">
        <f>Sheet1!H408</f>
        <v>0.95</v>
      </c>
      <c r="D408" s="2">
        <f>Sheet1!I408/Sheet1!J408</f>
        <v>1.2046974282507008</v>
      </c>
      <c r="E408" s="2">
        <f>Sheet1!G408</f>
        <v>13.42</v>
      </c>
    </row>
    <row r="409" spans="1:5">
      <c r="A409" t="str">
        <f>Sheet1!A409</f>
        <v>C408</v>
      </c>
      <c r="B409" t="str">
        <f>Sheet1!B409</f>
        <v>Jackson Ltd</v>
      </c>
      <c r="C409">
        <f>Sheet1!H409</f>
        <v>1.1399999999999999</v>
      </c>
      <c r="D409" s="2">
        <f>Sheet1!I409/Sheet1!J409</f>
        <v>5.7514863112568202</v>
      </c>
      <c r="E409" s="2">
        <f>Sheet1!G409</f>
        <v>19.75</v>
      </c>
    </row>
    <row r="410" spans="1:5">
      <c r="A410" t="str">
        <f>Sheet1!A410</f>
        <v>C409</v>
      </c>
      <c r="B410" t="str">
        <f>Sheet1!B410</f>
        <v>Foley Inc</v>
      </c>
      <c r="C410">
        <f>Sheet1!H410</f>
        <v>0.85</v>
      </c>
      <c r="D410" s="2">
        <f>Sheet1!I410/Sheet1!J410</f>
        <v>0.83475109090725008</v>
      </c>
      <c r="E410" s="2">
        <f>Sheet1!G410</f>
        <v>24.04</v>
      </c>
    </row>
    <row r="411" spans="1:5">
      <c r="A411" t="str">
        <f>Sheet1!A411</f>
        <v>C410</v>
      </c>
      <c r="B411" t="str">
        <f>Sheet1!B411</f>
        <v>Lawson Inc</v>
      </c>
      <c r="C411">
        <f>Sheet1!H411</f>
        <v>0.45</v>
      </c>
      <c r="D411" s="2">
        <f>Sheet1!I411/Sheet1!J411</f>
        <v>4.4093885088345157</v>
      </c>
      <c r="E411" s="2">
        <f>Sheet1!G411</f>
        <v>11.18</v>
      </c>
    </row>
    <row r="412" spans="1:5">
      <c r="A412" t="str">
        <f>Sheet1!A412</f>
        <v>C411</v>
      </c>
      <c r="B412" t="str">
        <f>Sheet1!B412</f>
        <v>Shaw Group</v>
      </c>
      <c r="C412">
        <f>Sheet1!H412</f>
        <v>0.43</v>
      </c>
      <c r="D412" s="2">
        <f>Sheet1!I412/Sheet1!J412</f>
        <v>0.74473984889533174</v>
      </c>
      <c r="E412" s="2">
        <f>Sheet1!G412</f>
        <v>2.8</v>
      </c>
    </row>
    <row r="413" spans="1:5">
      <c r="A413" t="str">
        <f>Sheet1!A413</f>
        <v>C412</v>
      </c>
      <c r="B413" t="str">
        <f>Sheet1!B413</f>
        <v>Gaines, Gonzales and Harrington</v>
      </c>
      <c r="C413">
        <f>Sheet1!H413</f>
        <v>0.2</v>
      </c>
      <c r="D413" s="2">
        <f>Sheet1!I413/Sheet1!J413</f>
        <v>1.0028848281177472</v>
      </c>
      <c r="E413" s="2">
        <f>Sheet1!G413</f>
        <v>7.08</v>
      </c>
    </row>
    <row r="414" spans="1:5">
      <c r="A414" t="str">
        <f>Sheet1!A414</f>
        <v>C413</v>
      </c>
      <c r="B414" t="str">
        <f>Sheet1!B414</f>
        <v>Santos-Torres</v>
      </c>
      <c r="C414">
        <f>Sheet1!H414</f>
        <v>0.45</v>
      </c>
      <c r="D414" s="2">
        <f>Sheet1!I414/Sheet1!J414</f>
        <v>3.6829365444127828E-2</v>
      </c>
      <c r="E414" s="2">
        <f>Sheet1!G414</f>
        <v>6.84</v>
      </c>
    </row>
    <row r="415" spans="1:5">
      <c r="A415" t="str">
        <f>Sheet1!A415</f>
        <v>C414</v>
      </c>
      <c r="B415" t="str">
        <f>Sheet1!B415</f>
        <v>Padilla-Gould</v>
      </c>
      <c r="C415">
        <f>Sheet1!H415</f>
        <v>0.47</v>
      </c>
      <c r="D415" s="2">
        <f>Sheet1!I415/Sheet1!J415</f>
        <v>2.0683042241930387</v>
      </c>
      <c r="E415" s="2">
        <f>Sheet1!G415</f>
        <v>17.66</v>
      </c>
    </row>
    <row r="416" spans="1:5">
      <c r="A416" t="str">
        <f>Sheet1!A416</f>
        <v>C415</v>
      </c>
      <c r="B416" t="str">
        <f>Sheet1!B416</f>
        <v>Joseph, Baxter and Ryan</v>
      </c>
      <c r="C416">
        <f>Sheet1!H416</f>
        <v>0.64</v>
      </c>
      <c r="D416" s="2">
        <f>Sheet1!I416/Sheet1!J416</f>
        <v>0.33376463813527119</v>
      </c>
      <c r="E416" s="2">
        <f>Sheet1!G416</f>
        <v>22.41</v>
      </c>
    </row>
    <row r="417" spans="1:5">
      <c r="A417" t="str">
        <f>Sheet1!A417</f>
        <v>C416</v>
      </c>
      <c r="B417" t="str">
        <f>Sheet1!B417</f>
        <v>Mack-Avery</v>
      </c>
      <c r="C417">
        <f>Sheet1!H417</f>
        <v>1.1399999999999999</v>
      </c>
      <c r="D417" s="2">
        <f>Sheet1!I417/Sheet1!J417</f>
        <v>0.79648949656692158</v>
      </c>
      <c r="E417" s="2">
        <f>Sheet1!G417</f>
        <v>21.51</v>
      </c>
    </row>
    <row r="418" spans="1:5">
      <c r="A418" t="str">
        <f>Sheet1!A418</f>
        <v>C417</v>
      </c>
      <c r="B418" t="str">
        <f>Sheet1!B418</f>
        <v>Wyatt-Wilson</v>
      </c>
      <c r="C418">
        <f>Sheet1!H418</f>
        <v>0.74</v>
      </c>
      <c r="D418" s="2">
        <f>Sheet1!I418/Sheet1!J418</f>
        <v>1.4102852367585137</v>
      </c>
      <c r="E418" s="2">
        <f>Sheet1!G418</f>
        <v>22.18</v>
      </c>
    </row>
    <row r="419" spans="1:5">
      <c r="A419" t="str">
        <f>Sheet1!A419</f>
        <v>C418</v>
      </c>
      <c r="B419" t="str">
        <f>Sheet1!B419</f>
        <v>Peterson Ltd</v>
      </c>
      <c r="C419">
        <f>Sheet1!H419</f>
        <v>0.1</v>
      </c>
      <c r="D419" s="2">
        <f>Sheet1!I419/Sheet1!J419</f>
        <v>-5.807451573670315E-2</v>
      </c>
      <c r="E419" s="2">
        <f>Sheet1!G419</f>
        <v>24.61</v>
      </c>
    </row>
    <row r="420" spans="1:5">
      <c r="A420" t="str">
        <f>Sheet1!A420</f>
        <v>C419</v>
      </c>
      <c r="B420" t="str">
        <f>Sheet1!B420</f>
        <v>Manning and Sons</v>
      </c>
      <c r="C420">
        <f>Sheet1!H420</f>
        <v>0.71</v>
      </c>
      <c r="D420" s="2">
        <f>Sheet1!I420/Sheet1!J420</f>
        <v>0.88693553716056328</v>
      </c>
      <c r="E420" s="2">
        <f>Sheet1!G420</f>
        <v>8.9600000000000009</v>
      </c>
    </row>
    <row r="421" spans="1:5">
      <c r="A421" t="str">
        <f>Sheet1!A421</f>
        <v>C420</v>
      </c>
      <c r="B421" t="str">
        <f>Sheet1!B421</f>
        <v>White and Sons</v>
      </c>
      <c r="C421">
        <f>Sheet1!H421</f>
        <v>0.45</v>
      </c>
      <c r="D421" s="2">
        <f>Sheet1!I421/Sheet1!J421</f>
        <v>-9.9661900263835049E-2</v>
      </c>
      <c r="E421" s="2">
        <f>Sheet1!G421</f>
        <v>4.57</v>
      </c>
    </row>
    <row r="422" spans="1:5">
      <c r="A422" t="str">
        <f>Sheet1!A422</f>
        <v>C421</v>
      </c>
      <c r="B422" t="str">
        <f>Sheet1!B422</f>
        <v>Briggs-Strong</v>
      </c>
      <c r="C422">
        <f>Sheet1!H422</f>
        <v>0.86</v>
      </c>
      <c r="D422" s="2">
        <f>Sheet1!I422/Sheet1!J422</f>
        <v>0.65534643307437235</v>
      </c>
      <c r="E422" s="2">
        <f>Sheet1!G422</f>
        <v>16.25</v>
      </c>
    </row>
    <row r="423" spans="1:5">
      <c r="A423" t="str">
        <f>Sheet1!A423</f>
        <v>C422</v>
      </c>
      <c r="B423" t="str">
        <f>Sheet1!B423</f>
        <v>Thompson Inc</v>
      </c>
      <c r="C423">
        <f>Sheet1!H423</f>
        <v>0.34</v>
      </c>
      <c r="D423" s="2">
        <f>Sheet1!I423/Sheet1!J423</f>
        <v>1.734039283231936</v>
      </c>
      <c r="E423" s="2">
        <f>Sheet1!G423</f>
        <v>16.579999999999998</v>
      </c>
    </row>
    <row r="424" spans="1:5">
      <c r="A424" t="str">
        <f>Sheet1!A424</f>
        <v>C423</v>
      </c>
      <c r="B424" t="str">
        <f>Sheet1!B424</f>
        <v>Smith and Sons</v>
      </c>
      <c r="C424">
        <f>Sheet1!H424</f>
        <v>0.15</v>
      </c>
      <c r="D424" s="2">
        <f>Sheet1!I424/Sheet1!J424</f>
        <v>1.0605977023571853</v>
      </c>
      <c r="E424" s="2">
        <f>Sheet1!G424</f>
        <v>21.36</v>
      </c>
    </row>
    <row r="425" spans="1:5">
      <c r="A425" t="str">
        <f>Sheet1!A425</f>
        <v>C424</v>
      </c>
      <c r="B425" t="str">
        <f>Sheet1!B425</f>
        <v>Moody-Stevenson</v>
      </c>
      <c r="C425">
        <f>Sheet1!H425</f>
        <v>0.13</v>
      </c>
      <c r="D425" s="2">
        <f>Sheet1!I425/Sheet1!J425</f>
        <v>1.111970372230243</v>
      </c>
      <c r="E425" s="2">
        <f>Sheet1!G425</f>
        <v>17.600000000000001</v>
      </c>
    </row>
    <row r="426" spans="1:5">
      <c r="A426" t="str">
        <f>Sheet1!A426</f>
        <v>C425</v>
      </c>
      <c r="B426" t="str">
        <f>Sheet1!B426</f>
        <v>Perez Inc</v>
      </c>
      <c r="C426">
        <f>Sheet1!H426</f>
        <v>0.41</v>
      </c>
      <c r="D426" s="2">
        <f>Sheet1!I426/Sheet1!J426</f>
        <v>0.9293624777893511</v>
      </c>
      <c r="E426" s="2">
        <f>Sheet1!G426</f>
        <v>14.65</v>
      </c>
    </row>
    <row r="427" spans="1:5">
      <c r="A427" t="str">
        <f>Sheet1!A427</f>
        <v>C426</v>
      </c>
      <c r="B427" t="str">
        <f>Sheet1!B427</f>
        <v>Smith and Sons</v>
      </c>
      <c r="C427">
        <f>Sheet1!H427</f>
        <v>0.49</v>
      </c>
      <c r="D427" s="2">
        <f>Sheet1!I427/Sheet1!J427</f>
        <v>2.6425572442955163</v>
      </c>
      <c r="E427" s="2">
        <f>Sheet1!G427</f>
        <v>10.11</v>
      </c>
    </row>
    <row r="428" spans="1:5">
      <c r="A428" t="str">
        <f>Sheet1!A428</f>
        <v>C427</v>
      </c>
      <c r="B428" t="str">
        <f>Sheet1!B428</f>
        <v>Thomas PLC</v>
      </c>
      <c r="C428">
        <f>Sheet1!H428</f>
        <v>0.63</v>
      </c>
      <c r="D428" s="2">
        <f>Sheet1!I428/Sheet1!J428</f>
        <v>-2.3180851641441423E-2</v>
      </c>
      <c r="E428" s="2">
        <f>Sheet1!G428</f>
        <v>21.71</v>
      </c>
    </row>
    <row r="429" spans="1:5">
      <c r="A429" t="str">
        <f>Sheet1!A429</f>
        <v>C428</v>
      </c>
      <c r="B429" t="str">
        <f>Sheet1!B429</f>
        <v>Jones-Walker</v>
      </c>
      <c r="C429">
        <f>Sheet1!H429</f>
        <v>0.73</v>
      </c>
      <c r="D429" s="2">
        <f>Sheet1!I429/Sheet1!J429</f>
        <v>2.0838275628695588</v>
      </c>
      <c r="E429" s="2">
        <f>Sheet1!G429</f>
        <v>19.420000000000002</v>
      </c>
    </row>
    <row r="430" spans="1:5">
      <c r="A430" t="str">
        <f>Sheet1!A430</f>
        <v>C429</v>
      </c>
      <c r="B430" t="str">
        <f>Sheet1!B430</f>
        <v>Smith and Sons</v>
      </c>
      <c r="C430">
        <f>Sheet1!H430</f>
        <v>0.72</v>
      </c>
      <c r="D430" s="2">
        <f>Sheet1!I430/Sheet1!J430</f>
        <v>1.0513933528450614</v>
      </c>
      <c r="E430" s="2">
        <f>Sheet1!G430</f>
        <v>10</v>
      </c>
    </row>
    <row r="431" spans="1:5">
      <c r="A431" t="str">
        <f>Sheet1!A431</f>
        <v>C430</v>
      </c>
      <c r="B431" t="str">
        <f>Sheet1!B431</f>
        <v>Jones and Sons</v>
      </c>
      <c r="C431">
        <f>Sheet1!H431</f>
        <v>0.12</v>
      </c>
      <c r="D431" s="2">
        <f>Sheet1!I431/Sheet1!J431</f>
        <v>0.77101177909699847</v>
      </c>
      <c r="E431" s="2">
        <f>Sheet1!G431</f>
        <v>20.18</v>
      </c>
    </row>
    <row r="432" spans="1:5">
      <c r="A432" t="str">
        <f>Sheet1!A432</f>
        <v>C431</v>
      </c>
      <c r="B432" t="str">
        <f>Sheet1!B432</f>
        <v>Mcconnell Inc</v>
      </c>
      <c r="C432">
        <f>Sheet1!H432</f>
        <v>0.5</v>
      </c>
      <c r="D432" s="2">
        <f>Sheet1!I432/Sheet1!J432</f>
        <v>0.93698731301775051</v>
      </c>
      <c r="E432" s="2">
        <f>Sheet1!G432</f>
        <v>23.54</v>
      </c>
    </row>
    <row r="433" spans="1:5">
      <c r="A433" t="str">
        <f>Sheet1!A433</f>
        <v>C432</v>
      </c>
      <c r="B433" t="str">
        <f>Sheet1!B433</f>
        <v>Smith-Benton</v>
      </c>
      <c r="C433">
        <f>Sheet1!H433</f>
        <v>0.51</v>
      </c>
      <c r="D433" s="2">
        <f>Sheet1!I433/Sheet1!J433</f>
        <v>2.3099213533733751</v>
      </c>
      <c r="E433" s="2">
        <f>Sheet1!G433</f>
        <v>18.47</v>
      </c>
    </row>
    <row r="434" spans="1:5">
      <c r="A434" t="str">
        <f>Sheet1!A434</f>
        <v>C433</v>
      </c>
      <c r="B434" t="str">
        <f>Sheet1!B434</f>
        <v>Summers-Lewis</v>
      </c>
      <c r="C434">
        <f>Sheet1!H434</f>
        <v>0.2</v>
      </c>
      <c r="D434" s="2">
        <f>Sheet1!I434/Sheet1!J434</f>
        <v>0.28936148003446793</v>
      </c>
      <c r="E434" s="2">
        <f>Sheet1!G434</f>
        <v>20.41</v>
      </c>
    </row>
    <row r="435" spans="1:5">
      <c r="A435" t="str">
        <f>Sheet1!A435</f>
        <v>C434</v>
      </c>
      <c r="B435" t="str">
        <f>Sheet1!B435</f>
        <v>Harmon, Stephens and Nelson</v>
      </c>
      <c r="C435">
        <f>Sheet1!H435</f>
        <v>0.68</v>
      </c>
      <c r="D435" s="2">
        <f>Sheet1!I435/Sheet1!J435</f>
        <v>-6.1275454026333116E-2</v>
      </c>
      <c r="E435" s="2">
        <f>Sheet1!G435</f>
        <v>18.2</v>
      </c>
    </row>
    <row r="436" spans="1:5">
      <c r="A436" t="str">
        <f>Sheet1!A436</f>
        <v>C435</v>
      </c>
      <c r="B436" t="str">
        <f>Sheet1!B436</f>
        <v>Smith-Becker</v>
      </c>
      <c r="C436">
        <f>Sheet1!H436</f>
        <v>0.37</v>
      </c>
      <c r="D436" s="2">
        <f>Sheet1!I436/Sheet1!J436</f>
        <v>0.92652781860540623</v>
      </c>
      <c r="E436" s="2">
        <f>Sheet1!G436</f>
        <v>15.31</v>
      </c>
    </row>
    <row r="437" spans="1:5">
      <c r="A437" t="str">
        <f>Sheet1!A437</f>
        <v>C436</v>
      </c>
      <c r="B437" t="str">
        <f>Sheet1!B437</f>
        <v>Turner PLC</v>
      </c>
      <c r="C437">
        <f>Sheet1!H437</f>
        <v>0.39</v>
      </c>
      <c r="D437" s="2">
        <f>Sheet1!I437/Sheet1!J437</f>
        <v>0.53437687121793831</v>
      </c>
      <c r="E437" s="2">
        <f>Sheet1!G437</f>
        <v>12.05</v>
      </c>
    </row>
    <row r="438" spans="1:5">
      <c r="A438" t="str">
        <f>Sheet1!A438</f>
        <v>C437</v>
      </c>
      <c r="B438" t="str">
        <f>Sheet1!B438</f>
        <v>Jones-Garza</v>
      </c>
      <c r="C438">
        <f>Sheet1!H438</f>
        <v>1.08</v>
      </c>
      <c r="D438" s="2">
        <f>Sheet1!I438/Sheet1!J438</f>
        <v>0.97067145419541734</v>
      </c>
      <c r="E438" s="2">
        <f>Sheet1!G438</f>
        <v>19.329999999999998</v>
      </c>
    </row>
    <row r="439" spans="1:5">
      <c r="A439" t="str">
        <f>Sheet1!A439</f>
        <v>C438</v>
      </c>
      <c r="B439" t="str">
        <f>Sheet1!B439</f>
        <v>Leach-Durham</v>
      </c>
      <c r="C439">
        <f>Sheet1!H439</f>
        <v>0.79</v>
      </c>
      <c r="D439" s="2">
        <f>Sheet1!I439/Sheet1!J439</f>
        <v>2.9104995145534884E-2</v>
      </c>
      <c r="E439" s="2">
        <f>Sheet1!G439</f>
        <v>2.0699999999999998</v>
      </c>
    </row>
    <row r="440" spans="1:5">
      <c r="A440" t="str">
        <f>Sheet1!A440</f>
        <v>C439</v>
      </c>
      <c r="B440" t="str">
        <f>Sheet1!B440</f>
        <v>Collins, Parker and Butler</v>
      </c>
      <c r="C440">
        <f>Sheet1!H440</f>
        <v>0.73</v>
      </c>
      <c r="D440" s="2">
        <f>Sheet1!I440/Sheet1!J440</f>
        <v>7.6310519872429685</v>
      </c>
      <c r="E440" s="2">
        <f>Sheet1!G440</f>
        <v>21.16</v>
      </c>
    </row>
    <row r="441" spans="1:5">
      <c r="A441" t="str">
        <f>Sheet1!A441</f>
        <v>C440</v>
      </c>
      <c r="B441" t="str">
        <f>Sheet1!B441</f>
        <v>Gibson Group</v>
      </c>
      <c r="C441">
        <f>Sheet1!H441</f>
        <v>1.0900000000000001</v>
      </c>
      <c r="D441" s="2">
        <f>Sheet1!I441/Sheet1!J441</f>
        <v>0.81075164564449198</v>
      </c>
      <c r="E441" s="2">
        <f>Sheet1!G441</f>
        <v>19.59</v>
      </c>
    </row>
    <row r="442" spans="1:5">
      <c r="A442" t="str">
        <f>Sheet1!A442</f>
        <v>C441</v>
      </c>
      <c r="B442" t="str">
        <f>Sheet1!B442</f>
        <v>Morales-Walton</v>
      </c>
      <c r="C442">
        <f>Sheet1!H442</f>
        <v>0.34</v>
      </c>
      <c r="D442" s="2">
        <f>Sheet1!I442/Sheet1!J442</f>
        <v>1.4635491587496845</v>
      </c>
      <c r="E442" s="2">
        <f>Sheet1!G442</f>
        <v>12.6</v>
      </c>
    </row>
    <row r="443" spans="1:5">
      <c r="A443" t="str">
        <f>Sheet1!A443</f>
        <v>C442</v>
      </c>
      <c r="B443" t="str">
        <f>Sheet1!B443</f>
        <v>Price and Sons</v>
      </c>
      <c r="C443">
        <f>Sheet1!H443</f>
        <v>0.56999999999999995</v>
      </c>
      <c r="D443" s="2">
        <f>Sheet1!I443/Sheet1!J443</f>
        <v>2.9309724445385155</v>
      </c>
      <c r="E443" s="2">
        <f>Sheet1!G443</f>
        <v>23.36</v>
      </c>
    </row>
    <row r="444" spans="1:5">
      <c r="A444" t="str">
        <f>Sheet1!A444</f>
        <v>C443</v>
      </c>
      <c r="B444" t="str">
        <f>Sheet1!B444</f>
        <v>Miles, Taylor and Pearson</v>
      </c>
      <c r="C444">
        <f>Sheet1!H444</f>
        <v>0.36</v>
      </c>
      <c r="D444" s="2">
        <f>Sheet1!I444/Sheet1!J444</f>
        <v>-6.2106161633190542E-2</v>
      </c>
      <c r="E444" s="2">
        <f>Sheet1!G444</f>
        <v>3.54</v>
      </c>
    </row>
    <row r="445" spans="1:5">
      <c r="A445" t="str">
        <f>Sheet1!A445</f>
        <v>C444</v>
      </c>
      <c r="B445" t="str">
        <f>Sheet1!B445</f>
        <v>Palmer-Duke</v>
      </c>
      <c r="C445">
        <f>Sheet1!H445</f>
        <v>0.46</v>
      </c>
      <c r="D445" s="2">
        <f>Sheet1!I445/Sheet1!J445</f>
        <v>0.67771861913349873</v>
      </c>
      <c r="E445" s="2">
        <f>Sheet1!G445</f>
        <v>8.16</v>
      </c>
    </row>
    <row r="446" spans="1:5">
      <c r="A446" t="str">
        <f>Sheet1!A446</f>
        <v>C445</v>
      </c>
      <c r="B446" t="str">
        <f>Sheet1!B446</f>
        <v>Miller, Flores and Leblanc</v>
      </c>
      <c r="C446">
        <f>Sheet1!H446</f>
        <v>0.98</v>
      </c>
      <c r="D446" s="2">
        <f>Sheet1!I446/Sheet1!J446</f>
        <v>-0.13670165839966847</v>
      </c>
      <c r="E446" s="2">
        <f>Sheet1!G446</f>
        <v>5.44</v>
      </c>
    </row>
    <row r="447" spans="1:5">
      <c r="A447" t="str">
        <f>Sheet1!A447</f>
        <v>C446</v>
      </c>
      <c r="B447" t="str">
        <f>Sheet1!B447</f>
        <v>Brown and Sons</v>
      </c>
      <c r="C447">
        <f>Sheet1!H447</f>
        <v>0.27</v>
      </c>
      <c r="D447" s="2">
        <f>Sheet1!I447/Sheet1!J447</f>
        <v>2.1308404140567342E-2</v>
      </c>
      <c r="E447" s="2">
        <f>Sheet1!G447</f>
        <v>20.16</v>
      </c>
    </row>
    <row r="448" spans="1:5">
      <c r="A448" t="str">
        <f>Sheet1!A448</f>
        <v>C447</v>
      </c>
      <c r="B448" t="str">
        <f>Sheet1!B448</f>
        <v>Anthony-Thomas</v>
      </c>
      <c r="C448">
        <f>Sheet1!H448</f>
        <v>1</v>
      </c>
      <c r="D448" s="2">
        <f>Sheet1!I448/Sheet1!J448</f>
        <v>0.59549581055223377</v>
      </c>
      <c r="E448" s="2">
        <f>Sheet1!G448</f>
        <v>13.5</v>
      </c>
    </row>
    <row r="449" spans="1:5">
      <c r="A449" t="str">
        <f>Sheet1!A449</f>
        <v>C448</v>
      </c>
      <c r="B449" t="str">
        <f>Sheet1!B449</f>
        <v>Barker-Owens</v>
      </c>
      <c r="C449">
        <f>Sheet1!H449</f>
        <v>0.2</v>
      </c>
      <c r="D449" s="2">
        <f>Sheet1!I449/Sheet1!J449</f>
        <v>3.1639050988506008</v>
      </c>
      <c r="E449" s="2">
        <f>Sheet1!G449</f>
        <v>13.57</v>
      </c>
    </row>
    <row r="450" spans="1:5">
      <c r="A450" t="str">
        <f>Sheet1!A450</f>
        <v>C449</v>
      </c>
      <c r="B450" t="str">
        <f>Sheet1!B450</f>
        <v>Bell-Oconnor</v>
      </c>
      <c r="C450">
        <f>Sheet1!H450</f>
        <v>0.13</v>
      </c>
      <c r="D450" s="2">
        <f>Sheet1!I450/Sheet1!J450</f>
        <v>0.65468260717814608</v>
      </c>
      <c r="E450" s="2">
        <f>Sheet1!G450</f>
        <v>17</v>
      </c>
    </row>
    <row r="451" spans="1:5">
      <c r="A451" t="str">
        <f>Sheet1!A451</f>
        <v>C450</v>
      </c>
      <c r="B451" t="str">
        <f>Sheet1!B451</f>
        <v>Solis-Perkins</v>
      </c>
      <c r="C451">
        <f>Sheet1!H451</f>
        <v>0.92</v>
      </c>
      <c r="D451" s="2">
        <f>Sheet1!I451/Sheet1!J451</f>
        <v>0.15684492318952417</v>
      </c>
      <c r="E451" s="2">
        <f>Sheet1!G451</f>
        <v>10.36</v>
      </c>
    </row>
    <row r="452" spans="1:5">
      <c r="A452" t="str">
        <f>Sheet1!A452</f>
        <v>C451</v>
      </c>
      <c r="B452" t="str">
        <f>Sheet1!B452</f>
        <v>Hernandez-Ewing</v>
      </c>
      <c r="C452">
        <f>Sheet1!H452</f>
        <v>0.27</v>
      </c>
      <c r="D452" s="2">
        <f>Sheet1!I452/Sheet1!J452</f>
        <v>1.70752136937798</v>
      </c>
      <c r="E452" s="2">
        <f>Sheet1!G452</f>
        <v>6.45</v>
      </c>
    </row>
    <row r="453" spans="1:5">
      <c r="A453" t="str">
        <f>Sheet1!A453</f>
        <v>C452</v>
      </c>
      <c r="B453" t="str">
        <f>Sheet1!B453</f>
        <v>Christensen Group</v>
      </c>
      <c r="C453">
        <f>Sheet1!H453</f>
        <v>0.83</v>
      </c>
      <c r="D453" s="2">
        <f>Sheet1!I453/Sheet1!J453</f>
        <v>0.43178106572526626</v>
      </c>
      <c r="E453" s="2">
        <f>Sheet1!G453</f>
        <v>14.88</v>
      </c>
    </row>
    <row r="454" spans="1:5">
      <c r="A454" t="str">
        <f>Sheet1!A454</f>
        <v>C453</v>
      </c>
      <c r="B454" t="str">
        <f>Sheet1!B454</f>
        <v>Reyes and Sons</v>
      </c>
      <c r="C454">
        <f>Sheet1!H454</f>
        <v>0.11</v>
      </c>
      <c r="D454" s="2">
        <f>Sheet1!I454/Sheet1!J454</f>
        <v>3.8518032411434512E-2</v>
      </c>
      <c r="E454" s="2">
        <f>Sheet1!G454</f>
        <v>2.96</v>
      </c>
    </row>
    <row r="455" spans="1:5">
      <c r="A455" t="str">
        <f>Sheet1!A455</f>
        <v>C454</v>
      </c>
      <c r="B455" t="str">
        <f>Sheet1!B455</f>
        <v>Dunlap PLC</v>
      </c>
      <c r="C455">
        <f>Sheet1!H455</f>
        <v>0.43</v>
      </c>
      <c r="D455" s="2">
        <f>Sheet1!I455/Sheet1!J455</f>
        <v>1.1066740725096329</v>
      </c>
      <c r="E455" s="2">
        <f>Sheet1!G455</f>
        <v>20.239999999999998</v>
      </c>
    </row>
    <row r="456" spans="1:5">
      <c r="A456" t="str">
        <f>Sheet1!A456</f>
        <v>C455</v>
      </c>
      <c r="B456" t="str">
        <f>Sheet1!B456</f>
        <v>Garcia LLC</v>
      </c>
      <c r="C456">
        <f>Sheet1!H456</f>
        <v>0.95</v>
      </c>
      <c r="D456" s="2">
        <f>Sheet1!I456/Sheet1!J456</f>
        <v>6.4421716012546861</v>
      </c>
      <c r="E456" s="2">
        <f>Sheet1!G456</f>
        <v>21.37</v>
      </c>
    </row>
    <row r="457" spans="1:5">
      <c r="A457" t="str">
        <f>Sheet1!A457</f>
        <v>C456</v>
      </c>
      <c r="B457" t="str">
        <f>Sheet1!B457</f>
        <v>Perez and Sons</v>
      </c>
      <c r="C457">
        <f>Sheet1!H457</f>
        <v>0.66</v>
      </c>
      <c r="D457" s="2">
        <f>Sheet1!I457/Sheet1!J457</f>
        <v>1.8308430172819536</v>
      </c>
      <c r="E457" s="2">
        <f>Sheet1!G457</f>
        <v>6.62</v>
      </c>
    </row>
    <row r="458" spans="1:5">
      <c r="A458" t="str">
        <f>Sheet1!A458</f>
        <v>C457</v>
      </c>
      <c r="B458" t="str">
        <f>Sheet1!B458</f>
        <v>Weaver LLC</v>
      </c>
      <c r="C458">
        <f>Sheet1!H458</f>
        <v>1.05</v>
      </c>
      <c r="D458" s="2">
        <f>Sheet1!I458/Sheet1!J458</f>
        <v>0.10699906453170278</v>
      </c>
      <c r="E458" s="2">
        <f>Sheet1!G458</f>
        <v>22.92</v>
      </c>
    </row>
    <row r="459" spans="1:5">
      <c r="A459" t="str">
        <f>Sheet1!A459</f>
        <v>C458</v>
      </c>
      <c r="B459" t="str">
        <f>Sheet1!B459</f>
        <v>Harris and Sons</v>
      </c>
      <c r="C459">
        <f>Sheet1!H459</f>
        <v>1.2</v>
      </c>
      <c r="D459" s="2">
        <f>Sheet1!I459/Sheet1!J459</f>
        <v>0.43733587819589204</v>
      </c>
      <c r="E459" s="2">
        <f>Sheet1!G459</f>
        <v>21.87</v>
      </c>
    </row>
    <row r="460" spans="1:5">
      <c r="A460" t="str">
        <f>Sheet1!A460</f>
        <v>C459</v>
      </c>
      <c r="B460" t="str">
        <f>Sheet1!B460</f>
        <v>Jackson, Harper and Velez</v>
      </c>
      <c r="C460">
        <f>Sheet1!H460</f>
        <v>0.32</v>
      </c>
      <c r="D460" s="2">
        <f>Sheet1!I460/Sheet1!J460</f>
        <v>0.42268872088114517</v>
      </c>
      <c r="E460" s="2">
        <f>Sheet1!G460</f>
        <v>14.67</v>
      </c>
    </row>
    <row r="461" spans="1:5">
      <c r="A461" t="str">
        <f>Sheet1!A461</f>
        <v>C460</v>
      </c>
      <c r="B461" t="str">
        <f>Sheet1!B461</f>
        <v>Arnold Group</v>
      </c>
      <c r="C461">
        <f>Sheet1!H461</f>
        <v>0.64</v>
      </c>
      <c r="D461" s="2">
        <f>Sheet1!I461/Sheet1!J461</f>
        <v>1.4148663611893808</v>
      </c>
      <c r="E461" s="2">
        <f>Sheet1!G461</f>
        <v>4.0199999999999996</v>
      </c>
    </row>
    <row r="462" spans="1:5">
      <c r="A462" t="str">
        <f>Sheet1!A462</f>
        <v>C461</v>
      </c>
      <c r="B462" t="str">
        <f>Sheet1!B462</f>
        <v>Farrell, Quinn and Bruce</v>
      </c>
      <c r="C462">
        <f>Sheet1!H462</f>
        <v>0.82</v>
      </c>
      <c r="D462" s="2">
        <f>Sheet1!I462/Sheet1!J462</f>
        <v>0.7463007278396171</v>
      </c>
      <c r="E462" s="2">
        <f>Sheet1!G462</f>
        <v>18.13</v>
      </c>
    </row>
    <row r="463" spans="1:5">
      <c r="A463" t="str">
        <f>Sheet1!A463</f>
        <v>C462</v>
      </c>
      <c r="B463" t="str">
        <f>Sheet1!B463</f>
        <v>Franklin and Sons</v>
      </c>
      <c r="C463">
        <f>Sheet1!H463</f>
        <v>0.56000000000000005</v>
      </c>
      <c r="D463" s="2">
        <f>Sheet1!I463/Sheet1!J463</f>
        <v>4.3248226522778879</v>
      </c>
      <c r="E463" s="2">
        <f>Sheet1!G463</f>
        <v>18.25</v>
      </c>
    </row>
    <row r="464" spans="1:5">
      <c r="A464" t="str">
        <f>Sheet1!A464</f>
        <v>C463</v>
      </c>
      <c r="B464" t="str">
        <f>Sheet1!B464</f>
        <v>Coffey and Sons</v>
      </c>
      <c r="C464">
        <f>Sheet1!H464</f>
        <v>0.37</v>
      </c>
      <c r="D464" s="2">
        <f>Sheet1!I464/Sheet1!J464</f>
        <v>0.35471525284536581</v>
      </c>
      <c r="E464" s="2">
        <f>Sheet1!G464</f>
        <v>8.9499999999999993</v>
      </c>
    </row>
    <row r="465" spans="1:5">
      <c r="A465" t="str">
        <f>Sheet1!A465</f>
        <v>C464</v>
      </c>
      <c r="B465" t="str">
        <f>Sheet1!B465</f>
        <v>Mullins Group</v>
      </c>
      <c r="C465">
        <f>Sheet1!H465</f>
        <v>1.0900000000000001</v>
      </c>
      <c r="D465" s="2">
        <f>Sheet1!I465/Sheet1!J465</f>
        <v>1.2319494676491112</v>
      </c>
      <c r="E465" s="2">
        <f>Sheet1!G465</f>
        <v>9.51</v>
      </c>
    </row>
    <row r="466" spans="1:5">
      <c r="A466" t="str">
        <f>Sheet1!A466</f>
        <v>C465</v>
      </c>
      <c r="B466" t="str">
        <f>Sheet1!B466</f>
        <v>Stevens-Smith</v>
      </c>
      <c r="C466">
        <f>Sheet1!H466</f>
        <v>0.5</v>
      </c>
      <c r="D466" s="2">
        <f>Sheet1!I466/Sheet1!J466</f>
        <v>1.2852995837621146</v>
      </c>
      <c r="E466" s="2">
        <f>Sheet1!G466</f>
        <v>24.03</v>
      </c>
    </row>
    <row r="467" spans="1:5">
      <c r="A467" t="str">
        <f>Sheet1!A467</f>
        <v>C466</v>
      </c>
      <c r="B467" t="str">
        <f>Sheet1!B467</f>
        <v>Mata-Dawson</v>
      </c>
      <c r="C467">
        <f>Sheet1!H467</f>
        <v>0.76</v>
      </c>
      <c r="D467" s="2">
        <f>Sheet1!I467/Sheet1!J467</f>
        <v>2.8405710429490572E-2</v>
      </c>
      <c r="E467" s="2">
        <f>Sheet1!G467</f>
        <v>15.83</v>
      </c>
    </row>
    <row r="468" spans="1:5">
      <c r="A468" t="str">
        <f>Sheet1!A468</f>
        <v>C467</v>
      </c>
      <c r="B468" t="str">
        <f>Sheet1!B468</f>
        <v>Paul Ltd</v>
      </c>
      <c r="C468">
        <f>Sheet1!H468</f>
        <v>0.83</v>
      </c>
      <c r="D468" s="2">
        <f>Sheet1!I468/Sheet1!J468</f>
        <v>0.75168181785823607</v>
      </c>
      <c r="E468" s="2">
        <f>Sheet1!G468</f>
        <v>4.4000000000000004</v>
      </c>
    </row>
    <row r="469" spans="1:5">
      <c r="A469" t="str">
        <f>Sheet1!A469</f>
        <v>C468</v>
      </c>
      <c r="B469" t="str">
        <f>Sheet1!B469</f>
        <v>Ferguson and Sons</v>
      </c>
      <c r="C469">
        <f>Sheet1!H469</f>
        <v>0.49</v>
      </c>
      <c r="D469" s="2">
        <f>Sheet1!I469/Sheet1!J469</f>
        <v>0.66439306127343223</v>
      </c>
      <c r="E469" s="2">
        <f>Sheet1!G469</f>
        <v>9.11</v>
      </c>
    </row>
    <row r="470" spans="1:5">
      <c r="A470" t="str">
        <f>Sheet1!A470</f>
        <v>C469</v>
      </c>
      <c r="B470" t="str">
        <f>Sheet1!B470</f>
        <v>Guzman, Martinez and Mcfarland</v>
      </c>
      <c r="C470">
        <f>Sheet1!H470</f>
        <v>0.28999999999999998</v>
      </c>
      <c r="D470" s="2">
        <f>Sheet1!I470/Sheet1!J470</f>
        <v>-0.25879368425403515</v>
      </c>
      <c r="E470" s="2">
        <f>Sheet1!G470</f>
        <v>24.15</v>
      </c>
    </row>
    <row r="471" spans="1:5">
      <c r="A471" t="str">
        <f>Sheet1!A471</f>
        <v>C470</v>
      </c>
      <c r="B471" t="str">
        <f>Sheet1!B471</f>
        <v>Hickman, Petersen and Fuller</v>
      </c>
      <c r="C471">
        <f>Sheet1!H471</f>
        <v>0.25</v>
      </c>
      <c r="D471" s="2">
        <f>Sheet1!I471/Sheet1!J471</f>
        <v>0.52925667064861404</v>
      </c>
      <c r="E471" s="2">
        <f>Sheet1!G471</f>
        <v>16.98</v>
      </c>
    </row>
    <row r="472" spans="1:5">
      <c r="A472" t="str">
        <f>Sheet1!A472</f>
        <v>C471</v>
      </c>
      <c r="B472" t="str">
        <f>Sheet1!B472</f>
        <v>Cook Group</v>
      </c>
      <c r="C472">
        <f>Sheet1!H472</f>
        <v>1.06</v>
      </c>
      <c r="D472" s="2">
        <f>Sheet1!I472/Sheet1!J472</f>
        <v>0.15048422627706887</v>
      </c>
      <c r="E472" s="2">
        <f>Sheet1!G472</f>
        <v>19.36</v>
      </c>
    </row>
    <row r="473" spans="1:5">
      <c r="A473" t="str">
        <f>Sheet1!A473</f>
        <v>C472</v>
      </c>
      <c r="B473" t="str">
        <f>Sheet1!B473</f>
        <v>Mccoy-Taylor</v>
      </c>
      <c r="C473">
        <f>Sheet1!H473</f>
        <v>0.76</v>
      </c>
      <c r="D473" s="2">
        <f>Sheet1!I473/Sheet1!J473</f>
        <v>2.4006440886029727</v>
      </c>
      <c r="E473" s="2">
        <f>Sheet1!G473</f>
        <v>17.09</v>
      </c>
    </row>
    <row r="474" spans="1:5">
      <c r="A474" t="str">
        <f>Sheet1!A474</f>
        <v>C473</v>
      </c>
      <c r="B474" t="str">
        <f>Sheet1!B474</f>
        <v>Brown-Newton</v>
      </c>
      <c r="C474">
        <f>Sheet1!H474</f>
        <v>0.64</v>
      </c>
      <c r="D474" s="2">
        <f>Sheet1!I474/Sheet1!J474</f>
        <v>0.22290562007086212</v>
      </c>
      <c r="E474" s="2">
        <f>Sheet1!G474</f>
        <v>17.05</v>
      </c>
    </row>
    <row r="475" spans="1:5">
      <c r="A475" t="str">
        <f>Sheet1!A475</f>
        <v>C474</v>
      </c>
      <c r="B475" t="str">
        <f>Sheet1!B475</f>
        <v>Decker-Elliott</v>
      </c>
      <c r="C475">
        <f>Sheet1!H475</f>
        <v>1.05</v>
      </c>
      <c r="D475" s="2">
        <f>Sheet1!I475/Sheet1!J475</f>
        <v>0.65710450563689549</v>
      </c>
      <c r="E475" s="2">
        <f>Sheet1!G475</f>
        <v>7.93</v>
      </c>
    </row>
    <row r="476" spans="1:5">
      <c r="A476" t="str">
        <f>Sheet1!A476</f>
        <v>C475</v>
      </c>
      <c r="B476" t="str">
        <f>Sheet1!B476</f>
        <v>Smith and Sons</v>
      </c>
      <c r="C476">
        <f>Sheet1!H476</f>
        <v>0.54</v>
      </c>
      <c r="D476" s="2">
        <f>Sheet1!I476/Sheet1!J476</f>
        <v>1.8484145565961383</v>
      </c>
      <c r="E476" s="2">
        <f>Sheet1!G476</f>
        <v>5.4</v>
      </c>
    </row>
    <row r="477" spans="1:5">
      <c r="A477" t="str">
        <f>Sheet1!A477</f>
        <v>C476</v>
      </c>
      <c r="B477" t="str">
        <f>Sheet1!B477</f>
        <v>Pratt, Collins and Hernandez</v>
      </c>
      <c r="C477">
        <f>Sheet1!H477</f>
        <v>1.05</v>
      </c>
      <c r="D477" s="2">
        <f>Sheet1!I477/Sheet1!J477</f>
        <v>2.4289674503779057</v>
      </c>
      <c r="E477" s="2">
        <f>Sheet1!G477</f>
        <v>2.79</v>
      </c>
    </row>
    <row r="478" spans="1:5">
      <c r="A478" t="str">
        <f>Sheet1!A478</f>
        <v>C477</v>
      </c>
      <c r="B478" t="str">
        <f>Sheet1!B478</f>
        <v>Nelson PLC</v>
      </c>
      <c r="C478">
        <f>Sheet1!H478</f>
        <v>0.56000000000000005</v>
      </c>
      <c r="D478" s="2">
        <f>Sheet1!I478/Sheet1!J478</f>
        <v>1.8766545427275114</v>
      </c>
      <c r="E478" s="2">
        <f>Sheet1!G478</f>
        <v>3.63</v>
      </c>
    </row>
    <row r="479" spans="1:5">
      <c r="A479" t="str">
        <f>Sheet1!A479</f>
        <v>C478</v>
      </c>
      <c r="B479" t="str">
        <f>Sheet1!B479</f>
        <v>Ingram, Waller and Nguyen</v>
      </c>
      <c r="C479">
        <f>Sheet1!H479</f>
        <v>0.7</v>
      </c>
      <c r="D479" s="2">
        <f>Sheet1!I479/Sheet1!J479</f>
        <v>0.83753534700295451</v>
      </c>
      <c r="E479" s="2">
        <f>Sheet1!G479</f>
        <v>13</v>
      </c>
    </row>
    <row r="480" spans="1:5">
      <c r="A480" t="str">
        <f>Sheet1!A480</f>
        <v>C479</v>
      </c>
      <c r="B480" t="str">
        <f>Sheet1!B480</f>
        <v>Daniels LLC</v>
      </c>
      <c r="C480">
        <f>Sheet1!H480</f>
        <v>0.7</v>
      </c>
      <c r="D480" s="2">
        <f>Sheet1!I480/Sheet1!J480</f>
        <v>-0.5580133278354904</v>
      </c>
      <c r="E480" s="2">
        <f>Sheet1!G480</f>
        <v>15.37</v>
      </c>
    </row>
    <row r="481" spans="1:5">
      <c r="A481" t="str">
        <f>Sheet1!A481</f>
        <v>C480</v>
      </c>
      <c r="B481" t="str">
        <f>Sheet1!B481</f>
        <v>Santos, Hall and Wood</v>
      </c>
      <c r="C481">
        <f>Sheet1!H481</f>
        <v>0.22</v>
      </c>
      <c r="D481" s="2">
        <f>Sheet1!I481/Sheet1!J481</f>
        <v>0.58758544377219757</v>
      </c>
      <c r="E481" s="2">
        <f>Sheet1!G481</f>
        <v>17.34</v>
      </c>
    </row>
    <row r="482" spans="1:5">
      <c r="A482" t="str">
        <f>Sheet1!A482</f>
        <v>C481</v>
      </c>
      <c r="B482" t="str">
        <f>Sheet1!B482</f>
        <v>Aguilar LLC</v>
      </c>
      <c r="C482">
        <f>Sheet1!H482</f>
        <v>0.17</v>
      </c>
      <c r="D482" s="2">
        <f>Sheet1!I482/Sheet1!J482</f>
        <v>0.51292237788716399</v>
      </c>
      <c r="E482" s="2">
        <f>Sheet1!G482</f>
        <v>21.27</v>
      </c>
    </row>
    <row r="483" spans="1:5">
      <c r="A483" t="str">
        <f>Sheet1!A483</f>
        <v>C482</v>
      </c>
      <c r="B483" t="str">
        <f>Sheet1!B483</f>
        <v>Hawkins, Hahn and Marsh</v>
      </c>
      <c r="C483">
        <f>Sheet1!H483</f>
        <v>0.51</v>
      </c>
      <c r="D483" s="2">
        <f>Sheet1!I483/Sheet1!J483</f>
        <v>0.80216381888204602</v>
      </c>
      <c r="E483" s="2">
        <f>Sheet1!G483</f>
        <v>10.52</v>
      </c>
    </row>
    <row r="484" spans="1:5">
      <c r="A484" t="str">
        <f>Sheet1!A484</f>
        <v>C483</v>
      </c>
      <c r="B484" t="str">
        <f>Sheet1!B484</f>
        <v>Walker-Parks</v>
      </c>
      <c r="C484">
        <f>Sheet1!H484</f>
        <v>0.18</v>
      </c>
      <c r="D484" s="2">
        <f>Sheet1!I484/Sheet1!J484</f>
        <v>0.75981531415521431</v>
      </c>
      <c r="E484" s="2">
        <f>Sheet1!G484</f>
        <v>16.579999999999998</v>
      </c>
    </row>
    <row r="485" spans="1:5">
      <c r="A485" t="str">
        <f>Sheet1!A485</f>
        <v>C484</v>
      </c>
      <c r="B485" t="str">
        <f>Sheet1!B485</f>
        <v>Gonzalez Ltd</v>
      </c>
      <c r="C485">
        <f>Sheet1!H485</f>
        <v>0.42</v>
      </c>
      <c r="D485" s="2">
        <f>Sheet1!I485/Sheet1!J485</f>
        <v>-2.2546999013463395E-2</v>
      </c>
      <c r="E485" s="2">
        <f>Sheet1!G485</f>
        <v>17.18</v>
      </c>
    </row>
    <row r="486" spans="1:5">
      <c r="A486" t="str">
        <f>Sheet1!A486</f>
        <v>C485</v>
      </c>
      <c r="B486" t="str">
        <f>Sheet1!B486</f>
        <v>Mathis-Jones</v>
      </c>
      <c r="C486">
        <f>Sheet1!H486</f>
        <v>0.63</v>
      </c>
      <c r="D486" s="2">
        <f>Sheet1!I486/Sheet1!J486</f>
        <v>0.22431369945650134</v>
      </c>
      <c r="E486" s="2">
        <f>Sheet1!G486</f>
        <v>3.59</v>
      </c>
    </row>
    <row r="487" spans="1:5">
      <c r="A487" t="str">
        <f>Sheet1!A487</f>
        <v>C486</v>
      </c>
      <c r="B487" t="str">
        <f>Sheet1!B487</f>
        <v>Torres Ltd</v>
      </c>
      <c r="C487">
        <f>Sheet1!H487</f>
        <v>0.14000000000000001</v>
      </c>
      <c r="D487" s="2">
        <f>Sheet1!I487/Sheet1!J487</f>
        <v>1.0941386502330293</v>
      </c>
      <c r="E487" s="2">
        <f>Sheet1!G487</f>
        <v>22.55</v>
      </c>
    </row>
    <row r="488" spans="1:5">
      <c r="A488" t="str">
        <f>Sheet1!A488</f>
        <v>C487</v>
      </c>
      <c r="B488" t="str">
        <f>Sheet1!B488</f>
        <v>Jackson, Trevino and Smith</v>
      </c>
      <c r="C488">
        <f>Sheet1!H488</f>
        <v>0.49</v>
      </c>
      <c r="D488" s="2">
        <f>Sheet1!I488/Sheet1!J488</f>
        <v>4.5508859796494123</v>
      </c>
      <c r="E488" s="2">
        <f>Sheet1!G488</f>
        <v>7.93</v>
      </c>
    </row>
    <row r="489" spans="1:5">
      <c r="A489" t="str">
        <f>Sheet1!A489</f>
        <v>C488</v>
      </c>
      <c r="B489" t="str">
        <f>Sheet1!B489</f>
        <v>Orozco-Miller</v>
      </c>
      <c r="C489">
        <f>Sheet1!H489</f>
        <v>0.87</v>
      </c>
      <c r="D489" s="2">
        <f>Sheet1!I489/Sheet1!J489</f>
        <v>5.1036889129551914</v>
      </c>
      <c r="E489" s="2">
        <f>Sheet1!G489</f>
        <v>10.65</v>
      </c>
    </row>
    <row r="490" spans="1:5">
      <c r="A490" t="str">
        <f>Sheet1!A490</f>
        <v>C489</v>
      </c>
      <c r="B490" t="str">
        <f>Sheet1!B490</f>
        <v>Smith Ltd</v>
      </c>
      <c r="C490">
        <f>Sheet1!H490</f>
        <v>1.1599999999999999</v>
      </c>
      <c r="D490" s="2">
        <f>Sheet1!I490/Sheet1!J490</f>
        <v>2.7368083715267599</v>
      </c>
      <c r="E490" s="2">
        <f>Sheet1!G490</f>
        <v>10.81</v>
      </c>
    </row>
    <row r="491" spans="1:5">
      <c r="A491" t="str">
        <f>Sheet1!A491</f>
        <v>C490</v>
      </c>
      <c r="B491" t="str">
        <f>Sheet1!B491</f>
        <v>Parsons-Mcfarland</v>
      </c>
      <c r="C491">
        <f>Sheet1!H491</f>
        <v>0.72</v>
      </c>
      <c r="D491" s="2">
        <f>Sheet1!I491/Sheet1!J491</f>
        <v>0.8997921076863199</v>
      </c>
      <c r="E491" s="2">
        <f>Sheet1!G491</f>
        <v>12.19</v>
      </c>
    </row>
    <row r="492" spans="1:5">
      <c r="A492" t="str">
        <f>Sheet1!A492</f>
        <v>C491</v>
      </c>
      <c r="B492" t="str">
        <f>Sheet1!B492</f>
        <v>Drake Group</v>
      </c>
      <c r="C492">
        <f>Sheet1!H492</f>
        <v>0.2</v>
      </c>
      <c r="D492" s="2">
        <f>Sheet1!I492/Sheet1!J492</f>
        <v>1.3402297271534467</v>
      </c>
      <c r="E492" s="2">
        <f>Sheet1!G492</f>
        <v>13.76</v>
      </c>
    </row>
    <row r="493" spans="1:5">
      <c r="A493" t="str">
        <f>Sheet1!A493</f>
        <v>C492</v>
      </c>
      <c r="B493" t="str">
        <f>Sheet1!B493</f>
        <v>Jackson Ltd</v>
      </c>
      <c r="C493">
        <f>Sheet1!H493</f>
        <v>1.04</v>
      </c>
      <c r="D493" s="2">
        <f>Sheet1!I493/Sheet1!J493</f>
        <v>0.80583706170013525</v>
      </c>
      <c r="E493" s="2">
        <f>Sheet1!G493</f>
        <v>14.53</v>
      </c>
    </row>
    <row r="494" spans="1:5">
      <c r="A494" t="str">
        <f>Sheet1!A494</f>
        <v>C493</v>
      </c>
      <c r="B494" t="str">
        <f>Sheet1!B494</f>
        <v>Harris, Orr and Brown</v>
      </c>
      <c r="C494">
        <f>Sheet1!H494</f>
        <v>0.12</v>
      </c>
      <c r="D494" s="2">
        <f>Sheet1!I494/Sheet1!J494</f>
        <v>0.86962294408047025</v>
      </c>
      <c r="E494" s="2">
        <f>Sheet1!G494</f>
        <v>5.08</v>
      </c>
    </row>
    <row r="495" spans="1:5">
      <c r="A495" t="str">
        <f>Sheet1!A495</f>
        <v>C494</v>
      </c>
      <c r="B495" t="str">
        <f>Sheet1!B495</f>
        <v>Harrison-Jimenez</v>
      </c>
      <c r="C495">
        <f>Sheet1!H495</f>
        <v>0.22</v>
      </c>
      <c r="D495" s="2">
        <f>Sheet1!I495/Sheet1!J495</f>
        <v>0.49528878978054008</v>
      </c>
      <c r="E495" s="2">
        <f>Sheet1!G495</f>
        <v>4.0999999999999996</v>
      </c>
    </row>
    <row r="496" spans="1:5">
      <c r="A496" t="str">
        <f>Sheet1!A496</f>
        <v>C495</v>
      </c>
      <c r="B496" t="str">
        <f>Sheet1!B496</f>
        <v>Wong PLC</v>
      </c>
      <c r="C496">
        <f>Sheet1!H496</f>
        <v>0.59</v>
      </c>
      <c r="D496" s="2">
        <f>Sheet1!I496/Sheet1!J496</f>
        <v>4.7074666393038109</v>
      </c>
      <c r="E496" s="2">
        <f>Sheet1!G496</f>
        <v>12.8</v>
      </c>
    </row>
    <row r="497" spans="1:5">
      <c r="A497" t="str">
        <f>Sheet1!A497</f>
        <v>C496</v>
      </c>
      <c r="B497" t="str">
        <f>Sheet1!B497</f>
        <v>Grimes-Black</v>
      </c>
      <c r="C497">
        <f>Sheet1!H497</f>
        <v>1.2</v>
      </c>
      <c r="D497" s="2">
        <f>Sheet1!I497/Sheet1!J497</f>
        <v>0.97326815175713233</v>
      </c>
      <c r="E497" s="2">
        <f>Sheet1!G497</f>
        <v>2.13</v>
      </c>
    </row>
    <row r="498" spans="1:5">
      <c r="A498" t="str">
        <f>Sheet1!A498</f>
        <v>C497</v>
      </c>
      <c r="B498" t="str">
        <f>Sheet1!B498</f>
        <v>Bond-Jones</v>
      </c>
      <c r="C498">
        <f>Sheet1!H498</f>
        <v>1.02</v>
      </c>
      <c r="D498" s="2">
        <f>Sheet1!I498/Sheet1!J498</f>
        <v>-0.10162436260087225</v>
      </c>
      <c r="E498" s="2">
        <f>Sheet1!G498</f>
        <v>13.51</v>
      </c>
    </row>
    <row r="499" spans="1:5">
      <c r="A499" t="str">
        <f>Sheet1!A499</f>
        <v>C498</v>
      </c>
      <c r="B499" t="str">
        <f>Sheet1!B499</f>
        <v>Moran, Meyers and Thompson</v>
      </c>
      <c r="C499">
        <f>Sheet1!H499</f>
        <v>0.19</v>
      </c>
      <c r="D499" s="2">
        <f>Sheet1!I499/Sheet1!J499</f>
        <v>3.5144757712636046</v>
      </c>
      <c r="E499" s="2">
        <f>Sheet1!G499</f>
        <v>4.8600000000000003</v>
      </c>
    </row>
    <row r="500" spans="1:5">
      <c r="A500" t="str">
        <f>Sheet1!A500</f>
        <v>C499</v>
      </c>
      <c r="B500" t="str">
        <f>Sheet1!B500</f>
        <v>Bailey, Garcia and Dalton</v>
      </c>
      <c r="C500">
        <f>Sheet1!H500</f>
        <v>1.03</v>
      </c>
      <c r="D500" s="2">
        <f>Sheet1!I500/Sheet1!J500</f>
        <v>0.12991309872787757</v>
      </c>
      <c r="E500" s="2">
        <f>Sheet1!G500</f>
        <v>10.69</v>
      </c>
    </row>
    <row r="501" spans="1:5">
      <c r="A501" t="str">
        <f>Sheet1!A501</f>
        <v>C500</v>
      </c>
      <c r="B501" t="str">
        <f>Sheet1!B501</f>
        <v>Coleman, Harris and Tucker</v>
      </c>
      <c r="C501">
        <f>Sheet1!H501</f>
        <v>0.17</v>
      </c>
      <c r="D501" s="2">
        <f>Sheet1!I501/Sheet1!J501</f>
        <v>1.2947739257855344</v>
      </c>
      <c r="E501" s="2">
        <f>Sheet1!G501</f>
        <v>18.100000000000001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BD64-8C2E-4BD6-B45A-1B13255627B4}">
  <dimension ref="A1:G501"/>
  <sheetViews>
    <sheetView workbookViewId="0">
      <selection activeCell="J46" sqref="J46"/>
    </sheetView>
  </sheetViews>
  <sheetFormatPr defaultRowHeight="14.4"/>
  <cols>
    <col min="1" max="1" width="13.77734375" customWidth="1"/>
    <col min="2" max="2" width="30.5546875" bestFit="1" customWidth="1"/>
    <col min="3" max="3" width="13.5546875" customWidth="1"/>
    <col min="4" max="4" width="16" customWidth="1"/>
    <col min="5" max="5" width="22.88671875" customWidth="1"/>
    <col min="6" max="6" width="11.77734375" customWidth="1"/>
    <col min="7" max="7" width="19.21875" customWidth="1"/>
  </cols>
  <sheetData>
    <row r="1" spans="1:7">
      <c r="A1" t="s">
        <v>0</v>
      </c>
      <c r="B1" t="s">
        <v>1</v>
      </c>
      <c r="C1" t="s">
        <v>17</v>
      </c>
      <c r="D1" t="s">
        <v>7</v>
      </c>
      <c r="E1" t="s">
        <v>1023</v>
      </c>
      <c r="F1" t="s">
        <v>1024</v>
      </c>
      <c r="G1" t="s">
        <v>1025</v>
      </c>
    </row>
    <row r="2" spans="1:7">
      <c r="A2" t="str">
        <f>Sheet1!A2</f>
        <v>C001</v>
      </c>
      <c r="B2" t="str">
        <f>Sheet1!B2</f>
        <v>Garcia, Chase and Gonzalez</v>
      </c>
      <c r="C2">
        <f>Sheet1!R2</f>
        <v>41</v>
      </c>
      <c r="D2">
        <f>Sheet1!H2</f>
        <v>1.01</v>
      </c>
      <c r="E2">
        <f>Sheet1!P2</f>
        <v>62</v>
      </c>
      <c r="F2">
        <f>Sheet1!I2</f>
        <v>962613</v>
      </c>
      <c r="G2" t="str">
        <f t="shared" ref="G2:G65" si="0">IF(AND(C2&gt;=70,D2&lt;=1,E2&gt;=60),"Approved",IF(OR(C2&lt;50,D2&gt;2),"Rejected","Manual Review"))</f>
        <v>Rejected</v>
      </c>
    </row>
    <row r="3" spans="1:7">
      <c r="A3" t="str">
        <f>Sheet1!A3</f>
        <v>C002</v>
      </c>
      <c r="B3" t="str">
        <f>Sheet1!B3</f>
        <v>Williams, Morgan and Sanders</v>
      </c>
      <c r="C3">
        <f>Sheet1!R3</f>
        <v>61</v>
      </c>
      <c r="D3">
        <f>Sheet1!H3</f>
        <v>0.6</v>
      </c>
      <c r="E3">
        <f>Sheet1!P3</f>
        <v>78</v>
      </c>
      <c r="F3">
        <f>Sheet1!I3</f>
        <v>945913</v>
      </c>
      <c r="G3" t="str">
        <f t="shared" si="0"/>
        <v>Manual Review</v>
      </c>
    </row>
    <row r="4" spans="1:7">
      <c r="A4" t="str">
        <f>Sheet1!A4</f>
        <v>C003</v>
      </c>
      <c r="B4" t="str">
        <f>Sheet1!B4</f>
        <v>Mullen LLC</v>
      </c>
      <c r="C4">
        <f>Sheet1!R4</f>
        <v>73</v>
      </c>
      <c r="D4">
        <f>Sheet1!H4</f>
        <v>0.44</v>
      </c>
      <c r="E4">
        <f>Sheet1!P4</f>
        <v>91</v>
      </c>
      <c r="F4">
        <f>Sheet1!I4</f>
        <v>-15853</v>
      </c>
      <c r="G4" t="str">
        <f t="shared" si="0"/>
        <v>Approved</v>
      </c>
    </row>
    <row r="5" spans="1:7">
      <c r="A5" t="str">
        <f>Sheet1!A5</f>
        <v>C004</v>
      </c>
      <c r="B5" t="str">
        <f>Sheet1!B5</f>
        <v>Roberts Ltd</v>
      </c>
      <c r="C5">
        <f>Sheet1!R5</f>
        <v>63</v>
      </c>
      <c r="D5">
        <f>Sheet1!H5</f>
        <v>0.5</v>
      </c>
      <c r="E5">
        <f>Sheet1!P5</f>
        <v>76</v>
      </c>
      <c r="F5">
        <f>Sheet1!I5</f>
        <v>948820</v>
      </c>
      <c r="G5" t="str">
        <f t="shared" si="0"/>
        <v>Manual Review</v>
      </c>
    </row>
    <row r="6" spans="1:7">
      <c r="A6" t="str">
        <f>Sheet1!A6</f>
        <v>C005</v>
      </c>
      <c r="B6" t="str">
        <f>Sheet1!B6</f>
        <v>Jackson-Dunn</v>
      </c>
      <c r="C6">
        <f>Sheet1!R6</f>
        <v>66</v>
      </c>
      <c r="D6">
        <f>Sheet1!H6</f>
        <v>0.87</v>
      </c>
      <c r="E6">
        <f>Sheet1!P6</f>
        <v>100</v>
      </c>
      <c r="F6">
        <f>Sheet1!I6</f>
        <v>855471</v>
      </c>
      <c r="G6" t="str">
        <f t="shared" si="0"/>
        <v>Manual Review</v>
      </c>
    </row>
    <row r="7" spans="1:7">
      <c r="A7" t="str">
        <f>Sheet1!A7</f>
        <v>C006</v>
      </c>
      <c r="B7" t="str">
        <f>Sheet1!B7</f>
        <v>Roberts-Sherman</v>
      </c>
      <c r="C7">
        <f>Sheet1!R7</f>
        <v>64</v>
      </c>
      <c r="D7">
        <f>Sheet1!H7</f>
        <v>0.48</v>
      </c>
      <c r="E7">
        <f>Sheet1!P7</f>
        <v>73</v>
      </c>
      <c r="F7">
        <f>Sheet1!I7</f>
        <v>778316</v>
      </c>
      <c r="G7" t="str">
        <f t="shared" si="0"/>
        <v>Manual Review</v>
      </c>
    </row>
    <row r="8" spans="1:7">
      <c r="A8" t="str">
        <f>Sheet1!A8</f>
        <v>C007</v>
      </c>
      <c r="B8" t="str">
        <f>Sheet1!B8</f>
        <v>Kline Inc</v>
      </c>
      <c r="C8">
        <f>Sheet1!R8</f>
        <v>56</v>
      </c>
      <c r="D8">
        <f>Sheet1!H8</f>
        <v>0.6</v>
      </c>
      <c r="E8">
        <f>Sheet1!P8</f>
        <v>61</v>
      </c>
      <c r="F8">
        <f>Sheet1!I8</f>
        <v>296197</v>
      </c>
      <c r="G8" t="str">
        <f t="shared" si="0"/>
        <v>Manual Review</v>
      </c>
    </row>
    <row r="9" spans="1:7">
      <c r="A9" t="str">
        <f>Sheet1!A9</f>
        <v>C008</v>
      </c>
      <c r="B9" t="str">
        <f>Sheet1!B9</f>
        <v>Watson, Moore and Bryant</v>
      </c>
      <c r="C9">
        <f>Sheet1!R9</f>
        <v>52</v>
      </c>
      <c r="D9">
        <f>Sheet1!H9</f>
        <v>1.1499999999999999</v>
      </c>
      <c r="E9">
        <f>Sheet1!P9</f>
        <v>99</v>
      </c>
      <c r="F9">
        <f>Sheet1!I9</f>
        <v>32274</v>
      </c>
      <c r="G9" t="str">
        <f t="shared" si="0"/>
        <v>Manual Review</v>
      </c>
    </row>
    <row r="10" spans="1:7">
      <c r="A10" t="str">
        <f>Sheet1!A10</f>
        <v>C009</v>
      </c>
      <c r="B10" t="str">
        <f>Sheet1!B10</f>
        <v>Clay, Andersen and Gibson</v>
      </c>
      <c r="C10">
        <f>Sheet1!R10</f>
        <v>59</v>
      </c>
      <c r="D10">
        <f>Sheet1!H10</f>
        <v>0.43</v>
      </c>
      <c r="E10">
        <f>Sheet1!P10</f>
        <v>76</v>
      </c>
      <c r="F10">
        <f>Sheet1!I10</f>
        <v>-7047</v>
      </c>
      <c r="G10" t="str">
        <f t="shared" si="0"/>
        <v>Manual Review</v>
      </c>
    </row>
    <row r="11" spans="1:7">
      <c r="A11" t="str">
        <f>Sheet1!A11</f>
        <v>C010</v>
      </c>
      <c r="B11" t="str">
        <f>Sheet1!B11</f>
        <v>Brown-Oliver</v>
      </c>
      <c r="C11">
        <f>Sheet1!R11</f>
        <v>55</v>
      </c>
      <c r="D11">
        <f>Sheet1!H11</f>
        <v>0.78</v>
      </c>
      <c r="E11">
        <f>Sheet1!P11</f>
        <v>60</v>
      </c>
      <c r="F11">
        <f>Sheet1!I11</f>
        <v>200931</v>
      </c>
      <c r="G11" t="str">
        <f t="shared" si="0"/>
        <v>Manual Review</v>
      </c>
    </row>
    <row r="12" spans="1:7">
      <c r="A12" t="str">
        <f>Sheet1!A12</f>
        <v>C011</v>
      </c>
      <c r="B12" t="str">
        <f>Sheet1!B12</f>
        <v>Baker Ltd</v>
      </c>
      <c r="C12">
        <f>Sheet1!R12</f>
        <v>74</v>
      </c>
      <c r="D12">
        <f>Sheet1!H12</f>
        <v>0.9</v>
      </c>
      <c r="E12">
        <f>Sheet1!P12</f>
        <v>98</v>
      </c>
      <c r="F12">
        <f>Sheet1!I12</f>
        <v>897409</v>
      </c>
      <c r="G12" t="str">
        <f t="shared" si="0"/>
        <v>Approved</v>
      </c>
    </row>
    <row r="13" spans="1:7">
      <c r="A13" t="str">
        <f>Sheet1!A13</f>
        <v>C012</v>
      </c>
      <c r="B13" t="str">
        <f>Sheet1!B13</f>
        <v>Thomas-Ortega</v>
      </c>
      <c r="C13">
        <f>Sheet1!R13</f>
        <v>68</v>
      </c>
      <c r="D13">
        <f>Sheet1!H13</f>
        <v>0.14000000000000001</v>
      </c>
      <c r="E13">
        <f>Sheet1!P13</f>
        <v>71</v>
      </c>
      <c r="F13">
        <f>Sheet1!I13</f>
        <v>732699</v>
      </c>
      <c r="G13" t="str">
        <f t="shared" si="0"/>
        <v>Manual Review</v>
      </c>
    </row>
    <row r="14" spans="1:7">
      <c r="A14" t="str">
        <f>Sheet1!A14</f>
        <v>C013</v>
      </c>
      <c r="B14" t="str">
        <f>Sheet1!B14</f>
        <v>Watkins, Lucas and Brennan</v>
      </c>
      <c r="C14">
        <f>Sheet1!R14</f>
        <v>52</v>
      </c>
      <c r="D14">
        <f>Sheet1!H14</f>
        <v>0.92</v>
      </c>
      <c r="E14">
        <f>Sheet1!P14</f>
        <v>75</v>
      </c>
      <c r="F14">
        <f>Sheet1!I14</f>
        <v>990616</v>
      </c>
      <c r="G14" t="str">
        <f t="shared" si="0"/>
        <v>Manual Review</v>
      </c>
    </row>
    <row r="15" spans="1:7">
      <c r="A15" t="str">
        <f>Sheet1!A15</f>
        <v>C014</v>
      </c>
      <c r="B15" t="str">
        <f>Sheet1!B15</f>
        <v>Rangel, Melton and Carter</v>
      </c>
      <c r="C15">
        <f>Sheet1!R15</f>
        <v>72</v>
      </c>
      <c r="D15">
        <f>Sheet1!H15</f>
        <v>0.41</v>
      </c>
      <c r="E15">
        <f>Sheet1!P15</f>
        <v>88</v>
      </c>
      <c r="F15">
        <f>Sheet1!I15</f>
        <v>619322</v>
      </c>
      <c r="G15" t="str">
        <f t="shared" si="0"/>
        <v>Approved</v>
      </c>
    </row>
    <row r="16" spans="1:7">
      <c r="A16" t="str">
        <f>Sheet1!A16</f>
        <v>C015</v>
      </c>
      <c r="B16" t="str">
        <f>Sheet1!B16</f>
        <v>Howell, Gutierrez and Carter</v>
      </c>
      <c r="C16">
        <f>Sheet1!R16</f>
        <v>72</v>
      </c>
      <c r="D16">
        <f>Sheet1!H16</f>
        <v>0.17</v>
      </c>
      <c r="E16">
        <f>Sheet1!P16</f>
        <v>75</v>
      </c>
      <c r="F16">
        <f>Sheet1!I16</f>
        <v>62523</v>
      </c>
      <c r="G16" t="str">
        <f t="shared" si="0"/>
        <v>Approved</v>
      </c>
    </row>
    <row r="17" spans="1:7">
      <c r="A17" t="str">
        <f>Sheet1!A17</f>
        <v>C016</v>
      </c>
      <c r="B17" t="str">
        <f>Sheet1!B17</f>
        <v>Nash Group</v>
      </c>
      <c r="C17">
        <f>Sheet1!R17</f>
        <v>66</v>
      </c>
      <c r="D17">
        <f>Sheet1!H17</f>
        <v>0.73</v>
      </c>
      <c r="E17">
        <f>Sheet1!P17</f>
        <v>95</v>
      </c>
      <c r="F17">
        <f>Sheet1!I17</f>
        <v>576584</v>
      </c>
      <c r="G17" t="str">
        <f t="shared" si="0"/>
        <v>Manual Review</v>
      </c>
    </row>
    <row r="18" spans="1:7">
      <c r="A18" t="str">
        <f>Sheet1!A18</f>
        <v>C017</v>
      </c>
      <c r="B18" t="str">
        <f>Sheet1!B18</f>
        <v>Mckenzie, Morales and Reid</v>
      </c>
      <c r="C18">
        <f>Sheet1!R18</f>
        <v>64</v>
      </c>
      <c r="D18">
        <f>Sheet1!H18</f>
        <v>0.34</v>
      </c>
      <c r="E18">
        <f>Sheet1!P18</f>
        <v>76</v>
      </c>
      <c r="F18">
        <f>Sheet1!I18</f>
        <v>145858</v>
      </c>
      <c r="G18" t="str">
        <f t="shared" si="0"/>
        <v>Manual Review</v>
      </c>
    </row>
    <row r="19" spans="1:7">
      <c r="A19" t="str">
        <f>Sheet1!A19</f>
        <v>C018</v>
      </c>
      <c r="B19" t="str">
        <f>Sheet1!B19</f>
        <v>Webster and Sons</v>
      </c>
      <c r="C19">
        <f>Sheet1!R19</f>
        <v>51</v>
      </c>
      <c r="D19">
        <f>Sheet1!H19</f>
        <v>0.93</v>
      </c>
      <c r="E19">
        <f>Sheet1!P19</f>
        <v>86</v>
      </c>
      <c r="F19">
        <f>Sheet1!I19</f>
        <v>813752</v>
      </c>
      <c r="G19" t="str">
        <f t="shared" si="0"/>
        <v>Manual Review</v>
      </c>
    </row>
    <row r="20" spans="1:7">
      <c r="A20" t="str">
        <f>Sheet1!A20</f>
        <v>C019</v>
      </c>
      <c r="B20" t="str">
        <f>Sheet1!B20</f>
        <v>Jenkins Ltd</v>
      </c>
      <c r="C20">
        <f>Sheet1!R20</f>
        <v>50</v>
      </c>
      <c r="D20">
        <f>Sheet1!H20</f>
        <v>1.1599999999999999</v>
      </c>
      <c r="E20">
        <f>Sheet1!P20</f>
        <v>95</v>
      </c>
      <c r="F20">
        <f>Sheet1!I20</f>
        <v>210951</v>
      </c>
      <c r="G20" t="str">
        <f t="shared" si="0"/>
        <v>Manual Review</v>
      </c>
    </row>
    <row r="21" spans="1:7">
      <c r="A21" t="str">
        <f>Sheet1!A21</f>
        <v>C020</v>
      </c>
      <c r="B21" t="str">
        <f>Sheet1!B21</f>
        <v>Robinson, Douglas and Smith</v>
      </c>
      <c r="C21">
        <f>Sheet1!R21</f>
        <v>54</v>
      </c>
      <c r="D21">
        <f>Sheet1!H21</f>
        <v>0.99</v>
      </c>
      <c r="E21">
        <f>Sheet1!P21</f>
        <v>98</v>
      </c>
      <c r="F21">
        <f>Sheet1!I21</f>
        <v>536625</v>
      </c>
      <c r="G21" t="str">
        <f t="shared" si="0"/>
        <v>Manual Review</v>
      </c>
    </row>
    <row r="22" spans="1:7">
      <c r="A22" t="str">
        <f>Sheet1!A22</f>
        <v>C021</v>
      </c>
      <c r="B22" t="str">
        <f>Sheet1!B22</f>
        <v>Bonilla-Franco</v>
      </c>
      <c r="C22">
        <f>Sheet1!R22</f>
        <v>57</v>
      </c>
      <c r="D22">
        <f>Sheet1!H22</f>
        <v>0.71</v>
      </c>
      <c r="E22">
        <f>Sheet1!P22</f>
        <v>87</v>
      </c>
      <c r="F22">
        <f>Sheet1!I22</f>
        <v>-23569</v>
      </c>
      <c r="G22" t="str">
        <f t="shared" si="0"/>
        <v>Manual Review</v>
      </c>
    </row>
    <row r="23" spans="1:7">
      <c r="A23" t="str">
        <f>Sheet1!A23</f>
        <v>C022</v>
      </c>
      <c r="B23" t="str">
        <f>Sheet1!B23</f>
        <v>Nicholson LLC</v>
      </c>
      <c r="C23">
        <f>Sheet1!R23</f>
        <v>65</v>
      </c>
      <c r="D23">
        <f>Sheet1!H23</f>
        <v>0.15</v>
      </c>
      <c r="E23">
        <f>Sheet1!P23</f>
        <v>73</v>
      </c>
      <c r="F23">
        <f>Sheet1!I23</f>
        <v>728452</v>
      </c>
      <c r="G23" t="str">
        <f t="shared" si="0"/>
        <v>Manual Review</v>
      </c>
    </row>
    <row r="24" spans="1:7">
      <c r="A24" t="str">
        <f>Sheet1!A24</f>
        <v>C023</v>
      </c>
      <c r="B24" t="str">
        <f>Sheet1!B24</f>
        <v>Gonzalez LLC</v>
      </c>
      <c r="C24">
        <f>Sheet1!R24</f>
        <v>57</v>
      </c>
      <c r="D24">
        <f>Sheet1!H24</f>
        <v>1.06</v>
      </c>
      <c r="E24">
        <f>Sheet1!P24</f>
        <v>94</v>
      </c>
      <c r="F24">
        <f>Sheet1!I24</f>
        <v>-74260</v>
      </c>
      <c r="G24" t="str">
        <f t="shared" si="0"/>
        <v>Manual Review</v>
      </c>
    </row>
    <row r="25" spans="1:7">
      <c r="A25" t="str">
        <f>Sheet1!A25</f>
        <v>C024</v>
      </c>
      <c r="B25" t="str">
        <f>Sheet1!B25</f>
        <v>Pineda-Little</v>
      </c>
      <c r="C25">
        <f>Sheet1!R25</f>
        <v>69</v>
      </c>
      <c r="D25">
        <f>Sheet1!H25</f>
        <v>0.38</v>
      </c>
      <c r="E25">
        <f>Sheet1!P25</f>
        <v>86</v>
      </c>
      <c r="F25">
        <f>Sheet1!I25</f>
        <v>203114</v>
      </c>
      <c r="G25" t="str">
        <f t="shared" si="0"/>
        <v>Manual Review</v>
      </c>
    </row>
    <row r="26" spans="1:7">
      <c r="A26" t="str">
        <f>Sheet1!A26</f>
        <v>C025</v>
      </c>
      <c r="B26" t="str">
        <f>Sheet1!B26</f>
        <v>Franklin LLC</v>
      </c>
      <c r="C26">
        <f>Sheet1!R26</f>
        <v>68</v>
      </c>
      <c r="D26">
        <f>Sheet1!H26</f>
        <v>1.07</v>
      </c>
      <c r="E26">
        <f>Sheet1!P26</f>
        <v>96</v>
      </c>
      <c r="F26">
        <f>Sheet1!I26</f>
        <v>969337</v>
      </c>
      <c r="G26" t="str">
        <f t="shared" si="0"/>
        <v>Manual Review</v>
      </c>
    </row>
    <row r="27" spans="1:7">
      <c r="A27" t="str">
        <f>Sheet1!A27</f>
        <v>C026</v>
      </c>
      <c r="B27" t="str">
        <f>Sheet1!B27</f>
        <v>Ortiz-Reid</v>
      </c>
      <c r="C27">
        <f>Sheet1!R27</f>
        <v>79</v>
      </c>
      <c r="D27">
        <f>Sheet1!H27</f>
        <v>0.11</v>
      </c>
      <c r="E27">
        <f>Sheet1!P27</f>
        <v>63</v>
      </c>
      <c r="F27">
        <f>Sheet1!I27</f>
        <v>727072</v>
      </c>
      <c r="G27" t="str">
        <f t="shared" si="0"/>
        <v>Approved</v>
      </c>
    </row>
    <row r="28" spans="1:7">
      <c r="A28" t="str">
        <f>Sheet1!A28</f>
        <v>C027</v>
      </c>
      <c r="B28" t="str">
        <f>Sheet1!B28</f>
        <v>Nunez Group</v>
      </c>
      <c r="C28">
        <f>Sheet1!R28</f>
        <v>58</v>
      </c>
      <c r="D28">
        <f>Sheet1!H28</f>
        <v>0.69</v>
      </c>
      <c r="E28">
        <f>Sheet1!P28</f>
        <v>84</v>
      </c>
      <c r="F28">
        <f>Sheet1!I28</f>
        <v>764439</v>
      </c>
      <c r="G28" t="str">
        <f t="shared" si="0"/>
        <v>Manual Review</v>
      </c>
    </row>
    <row r="29" spans="1:7">
      <c r="A29" t="str">
        <f>Sheet1!A29</f>
        <v>C028</v>
      </c>
      <c r="B29" t="str">
        <f>Sheet1!B29</f>
        <v>Hall, Davenport and Downs</v>
      </c>
      <c r="C29">
        <f>Sheet1!R29</f>
        <v>67</v>
      </c>
      <c r="D29">
        <f>Sheet1!H29</f>
        <v>0.18</v>
      </c>
      <c r="E29">
        <f>Sheet1!P29</f>
        <v>95</v>
      </c>
      <c r="F29">
        <f>Sheet1!I29</f>
        <v>444694</v>
      </c>
      <c r="G29" t="str">
        <f t="shared" si="0"/>
        <v>Manual Review</v>
      </c>
    </row>
    <row r="30" spans="1:7">
      <c r="A30" t="str">
        <f>Sheet1!A30</f>
        <v>C029</v>
      </c>
      <c r="B30" t="str">
        <f>Sheet1!B30</f>
        <v>Mcknight, Johnson and Morris</v>
      </c>
      <c r="C30">
        <f>Sheet1!R30</f>
        <v>63</v>
      </c>
      <c r="D30">
        <f>Sheet1!H30</f>
        <v>1.03</v>
      </c>
      <c r="E30">
        <f>Sheet1!P30</f>
        <v>90</v>
      </c>
      <c r="F30">
        <f>Sheet1!I30</f>
        <v>-81865</v>
      </c>
      <c r="G30" t="str">
        <f t="shared" si="0"/>
        <v>Manual Review</v>
      </c>
    </row>
    <row r="31" spans="1:7">
      <c r="A31" t="str">
        <f>Sheet1!A31</f>
        <v>C030</v>
      </c>
      <c r="B31" t="str">
        <f>Sheet1!B31</f>
        <v>Obrien LLC</v>
      </c>
      <c r="C31">
        <f>Sheet1!R31</f>
        <v>57</v>
      </c>
      <c r="D31">
        <f>Sheet1!H31</f>
        <v>0.76</v>
      </c>
      <c r="E31">
        <f>Sheet1!P31</f>
        <v>91</v>
      </c>
      <c r="F31">
        <f>Sheet1!I31</f>
        <v>66198</v>
      </c>
      <c r="G31" t="str">
        <f t="shared" si="0"/>
        <v>Manual Review</v>
      </c>
    </row>
    <row r="32" spans="1:7">
      <c r="A32" t="str">
        <f>Sheet1!A32</f>
        <v>C031</v>
      </c>
      <c r="B32" t="str">
        <f>Sheet1!B32</f>
        <v>Petty-Andrews</v>
      </c>
      <c r="C32">
        <f>Sheet1!R32</f>
        <v>58</v>
      </c>
      <c r="D32">
        <f>Sheet1!H32</f>
        <v>1.1000000000000001</v>
      </c>
      <c r="E32">
        <f>Sheet1!P32</f>
        <v>71</v>
      </c>
      <c r="F32">
        <f>Sheet1!I32</f>
        <v>732007</v>
      </c>
      <c r="G32" t="str">
        <f t="shared" si="0"/>
        <v>Manual Review</v>
      </c>
    </row>
    <row r="33" spans="1:7">
      <c r="A33" t="str">
        <f>Sheet1!A33</f>
        <v>C032</v>
      </c>
      <c r="B33" t="str">
        <f>Sheet1!B33</f>
        <v>Flores-Shepherd</v>
      </c>
      <c r="C33">
        <f>Sheet1!R33</f>
        <v>50</v>
      </c>
      <c r="D33">
        <f>Sheet1!H33</f>
        <v>0.8</v>
      </c>
      <c r="E33">
        <f>Sheet1!P33</f>
        <v>63</v>
      </c>
      <c r="F33">
        <f>Sheet1!I33</f>
        <v>860833</v>
      </c>
      <c r="G33" t="str">
        <f t="shared" si="0"/>
        <v>Manual Review</v>
      </c>
    </row>
    <row r="34" spans="1:7">
      <c r="A34" t="str">
        <f>Sheet1!A34</f>
        <v>C033</v>
      </c>
      <c r="B34" t="str">
        <f>Sheet1!B34</f>
        <v>Baker, Richardson and Singh</v>
      </c>
      <c r="C34">
        <f>Sheet1!R34</f>
        <v>71</v>
      </c>
      <c r="D34">
        <f>Sheet1!H34</f>
        <v>0.41</v>
      </c>
      <c r="E34">
        <f>Sheet1!P34</f>
        <v>97</v>
      </c>
      <c r="F34">
        <f>Sheet1!I34</f>
        <v>308310</v>
      </c>
      <c r="G34" t="str">
        <f t="shared" si="0"/>
        <v>Approved</v>
      </c>
    </row>
    <row r="35" spans="1:7">
      <c r="A35" t="str">
        <f>Sheet1!A35</f>
        <v>C034</v>
      </c>
      <c r="B35" t="str">
        <f>Sheet1!B35</f>
        <v>Stanley, Houston and Whitaker</v>
      </c>
      <c r="C35">
        <f>Sheet1!R35</f>
        <v>51</v>
      </c>
      <c r="D35">
        <f>Sheet1!H35</f>
        <v>0.6</v>
      </c>
      <c r="E35">
        <f>Sheet1!P35</f>
        <v>66</v>
      </c>
      <c r="F35">
        <f>Sheet1!I35</f>
        <v>691084</v>
      </c>
      <c r="G35" t="str">
        <f t="shared" si="0"/>
        <v>Manual Review</v>
      </c>
    </row>
    <row r="36" spans="1:7">
      <c r="A36" t="str">
        <f>Sheet1!A36</f>
        <v>C035</v>
      </c>
      <c r="B36" t="str">
        <f>Sheet1!B36</f>
        <v>Miller Group</v>
      </c>
      <c r="C36">
        <f>Sheet1!R36</f>
        <v>76</v>
      </c>
      <c r="D36">
        <f>Sheet1!H36</f>
        <v>0.22</v>
      </c>
      <c r="E36">
        <f>Sheet1!P36</f>
        <v>64</v>
      </c>
      <c r="F36">
        <f>Sheet1!I36</f>
        <v>-7206</v>
      </c>
      <c r="G36" t="str">
        <f t="shared" si="0"/>
        <v>Approved</v>
      </c>
    </row>
    <row r="37" spans="1:7">
      <c r="A37" t="str">
        <f>Sheet1!A37</f>
        <v>C036</v>
      </c>
      <c r="B37" t="str">
        <f>Sheet1!B37</f>
        <v>Quinn-Porter</v>
      </c>
      <c r="C37">
        <f>Sheet1!R37</f>
        <v>62</v>
      </c>
      <c r="D37">
        <f>Sheet1!H37</f>
        <v>0.38</v>
      </c>
      <c r="E37">
        <f>Sheet1!P37</f>
        <v>92</v>
      </c>
      <c r="F37">
        <f>Sheet1!I37</f>
        <v>-51015</v>
      </c>
      <c r="G37" t="str">
        <f t="shared" si="0"/>
        <v>Manual Review</v>
      </c>
    </row>
    <row r="38" spans="1:7">
      <c r="A38" t="str">
        <f>Sheet1!A38</f>
        <v>C037</v>
      </c>
      <c r="B38" t="str">
        <f>Sheet1!B38</f>
        <v>Rodriguez Inc</v>
      </c>
      <c r="C38">
        <f>Sheet1!R38</f>
        <v>72</v>
      </c>
      <c r="D38">
        <f>Sheet1!H38</f>
        <v>0.45</v>
      </c>
      <c r="E38">
        <f>Sheet1!P38</f>
        <v>63</v>
      </c>
      <c r="F38">
        <f>Sheet1!I38</f>
        <v>142615</v>
      </c>
      <c r="G38" t="str">
        <f t="shared" si="0"/>
        <v>Approved</v>
      </c>
    </row>
    <row r="39" spans="1:7">
      <c r="A39" t="str">
        <f>Sheet1!A39</f>
        <v>C038</v>
      </c>
      <c r="B39" t="str">
        <f>Sheet1!B39</f>
        <v>Reyes, Hurst and Gilbert</v>
      </c>
      <c r="C39">
        <f>Sheet1!R39</f>
        <v>74</v>
      </c>
      <c r="D39">
        <f>Sheet1!H39</f>
        <v>0.75</v>
      </c>
      <c r="E39">
        <f>Sheet1!P39</f>
        <v>95</v>
      </c>
      <c r="F39">
        <f>Sheet1!I39</f>
        <v>961509</v>
      </c>
      <c r="G39" t="str">
        <f t="shared" si="0"/>
        <v>Approved</v>
      </c>
    </row>
    <row r="40" spans="1:7">
      <c r="A40" t="str">
        <f>Sheet1!A40</f>
        <v>C039</v>
      </c>
      <c r="B40" t="str">
        <f>Sheet1!B40</f>
        <v>Allen-Orozco</v>
      </c>
      <c r="C40">
        <f>Sheet1!R40</f>
        <v>56</v>
      </c>
      <c r="D40">
        <f>Sheet1!H40</f>
        <v>0.7</v>
      </c>
      <c r="E40">
        <f>Sheet1!P40</f>
        <v>73</v>
      </c>
      <c r="F40">
        <f>Sheet1!I40</f>
        <v>213922</v>
      </c>
      <c r="G40" t="str">
        <f t="shared" si="0"/>
        <v>Manual Review</v>
      </c>
    </row>
    <row r="41" spans="1:7">
      <c r="A41" t="str">
        <f>Sheet1!A41</f>
        <v>C040</v>
      </c>
      <c r="B41" t="str">
        <f>Sheet1!B41</f>
        <v>Martinez-Griffith</v>
      </c>
      <c r="C41">
        <f>Sheet1!R41</f>
        <v>59</v>
      </c>
      <c r="D41">
        <f>Sheet1!H41</f>
        <v>1.03</v>
      </c>
      <c r="E41">
        <f>Sheet1!P41</f>
        <v>95</v>
      </c>
      <c r="F41">
        <f>Sheet1!I41</f>
        <v>522424</v>
      </c>
      <c r="G41" t="str">
        <f t="shared" si="0"/>
        <v>Manual Review</v>
      </c>
    </row>
    <row r="42" spans="1:7">
      <c r="A42" t="str">
        <f>Sheet1!A42</f>
        <v>C041</v>
      </c>
      <c r="B42" t="str">
        <f>Sheet1!B42</f>
        <v>Solis Group</v>
      </c>
      <c r="C42">
        <f>Sheet1!R42</f>
        <v>66</v>
      </c>
      <c r="D42">
        <f>Sheet1!H42</f>
        <v>0.24</v>
      </c>
      <c r="E42">
        <f>Sheet1!P42</f>
        <v>85</v>
      </c>
      <c r="F42">
        <f>Sheet1!I42</f>
        <v>805892</v>
      </c>
      <c r="G42" t="str">
        <f t="shared" si="0"/>
        <v>Manual Review</v>
      </c>
    </row>
    <row r="43" spans="1:7">
      <c r="A43" t="str">
        <f>Sheet1!A43</f>
        <v>C042</v>
      </c>
      <c r="B43" t="str">
        <f>Sheet1!B43</f>
        <v>Mcguire Inc</v>
      </c>
      <c r="C43">
        <f>Sheet1!R43</f>
        <v>79</v>
      </c>
      <c r="D43">
        <f>Sheet1!H43</f>
        <v>0.24</v>
      </c>
      <c r="E43">
        <f>Sheet1!P43</f>
        <v>75</v>
      </c>
      <c r="F43">
        <f>Sheet1!I43</f>
        <v>834809</v>
      </c>
      <c r="G43" t="str">
        <f t="shared" si="0"/>
        <v>Approved</v>
      </c>
    </row>
    <row r="44" spans="1:7">
      <c r="A44" t="str">
        <f>Sheet1!A44</f>
        <v>C043</v>
      </c>
      <c r="B44" t="str">
        <f>Sheet1!B44</f>
        <v>Freeman Ltd</v>
      </c>
      <c r="C44">
        <f>Sheet1!R44</f>
        <v>63</v>
      </c>
      <c r="D44">
        <f>Sheet1!H44</f>
        <v>0.2</v>
      </c>
      <c r="E44">
        <f>Sheet1!P44</f>
        <v>64</v>
      </c>
      <c r="F44">
        <f>Sheet1!I44</f>
        <v>634776</v>
      </c>
      <c r="G44" t="str">
        <f t="shared" si="0"/>
        <v>Manual Review</v>
      </c>
    </row>
    <row r="45" spans="1:7">
      <c r="A45" t="str">
        <f>Sheet1!A45</f>
        <v>C044</v>
      </c>
      <c r="B45" t="str">
        <f>Sheet1!B45</f>
        <v>Holmes Ltd</v>
      </c>
      <c r="C45">
        <f>Sheet1!R45</f>
        <v>66</v>
      </c>
      <c r="D45">
        <f>Sheet1!H45</f>
        <v>0.14000000000000001</v>
      </c>
      <c r="E45">
        <f>Sheet1!P45</f>
        <v>68</v>
      </c>
      <c r="F45">
        <f>Sheet1!I45</f>
        <v>792104</v>
      </c>
      <c r="G45" t="str">
        <f t="shared" si="0"/>
        <v>Manual Review</v>
      </c>
    </row>
    <row r="46" spans="1:7">
      <c r="A46" t="str">
        <f>Sheet1!A46</f>
        <v>C045</v>
      </c>
      <c r="B46" t="str">
        <f>Sheet1!B46</f>
        <v>Harris Group</v>
      </c>
      <c r="C46">
        <f>Sheet1!R46</f>
        <v>46</v>
      </c>
      <c r="D46">
        <f>Sheet1!H46</f>
        <v>0.92</v>
      </c>
      <c r="E46">
        <f>Sheet1!P46</f>
        <v>70</v>
      </c>
      <c r="F46">
        <f>Sheet1!I46</f>
        <v>880098</v>
      </c>
      <c r="G46" t="str">
        <f t="shared" si="0"/>
        <v>Rejected</v>
      </c>
    </row>
    <row r="47" spans="1:7">
      <c r="A47" t="str">
        <f>Sheet1!A47</f>
        <v>C046</v>
      </c>
      <c r="B47" t="str">
        <f>Sheet1!B47</f>
        <v>Rosario Group</v>
      </c>
      <c r="C47">
        <f>Sheet1!R47</f>
        <v>58</v>
      </c>
      <c r="D47">
        <f>Sheet1!H47</f>
        <v>0.45</v>
      </c>
      <c r="E47">
        <f>Sheet1!P47</f>
        <v>82</v>
      </c>
      <c r="F47">
        <f>Sheet1!I47</f>
        <v>-52009</v>
      </c>
      <c r="G47" t="str">
        <f t="shared" si="0"/>
        <v>Manual Review</v>
      </c>
    </row>
    <row r="48" spans="1:7">
      <c r="A48" t="str">
        <f>Sheet1!A48</f>
        <v>C047</v>
      </c>
      <c r="B48" t="str">
        <f>Sheet1!B48</f>
        <v>Cole LLC</v>
      </c>
      <c r="C48">
        <f>Sheet1!R48</f>
        <v>68</v>
      </c>
      <c r="D48">
        <f>Sheet1!H48</f>
        <v>0.71</v>
      </c>
      <c r="E48">
        <f>Sheet1!P48</f>
        <v>67</v>
      </c>
      <c r="F48">
        <f>Sheet1!I48</f>
        <v>-98855</v>
      </c>
      <c r="G48" t="str">
        <f t="shared" si="0"/>
        <v>Manual Review</v>
      </c>
    </row>
    <row r="49" spans="1:7">
      <c r="A49" t="str">
        <f>Sheet1!A49</f>
        <v>C048</v>
      </c>
      <c r="B49" t="str">
        <f>Sheet1!B49</f>
        <v>Logan-Briggs</v>
      </c>
      <c r="C49">
        <f>Sheet1!R49</f>
        <v>61</v>
      </c>
      <c r="D49">
        <f>Sheet1!H49</f>
        <v>0.56999999999999995</v>
      </c>
      <c r="E49">
        <f>Sheet1!P49</f>
        <v>95</v>
      </c>
      <c r="F49">
        <f>Sheet1!I49</f>
        <v>73286</v>
      </c>
      <c r="G49" t="str">
        <f t="shared" si="0"/>
        <v>Manual Review</v>
      </c>
    </row>
    <row r="50" spans="1:7">
      <c r="A50" t="str">
        <f>Sheet1!A50</f>
        <v>C049</v>
      </c>
      <c r="B50" t="str">
        <f>Sheet1!B50</f>
        <v>Sandoval Ltd</v>
      </c>
      <c r="C50">
        <f>Sheet1!R50</f>
        <v>71</v>
      </c>
      <c r="D50">
        <f>Sheet1!H50</f>
        <v>0.45</v>
      </c>
      <c r="E50">
        <f>Sheet1!P50</f>
        <v>70</v>
      </c>
      <c r="F50">
        <f>Sheet1!I50</f>
        <v>716188</v>
      </c>
      <c r="G50" t="str">
        <f t="shared" si="0"/>
        <v>Approved</v>
      </c>
    </row>
    <row r="51" spans="1:7">
      <c r="A51" t="str">
        <f>Sheet1!A51</f>
        <v>C050</v>
      </c>
      <c r="B51" t="str">
        <f>Sheet1!B51</f>
        <v>Baird, Henry and Stevens</v>
      </c>
      <c r="C51">
        <f>Sheet1!R51</f>
        <v>61</v>
      </c>
      <c r="D51">
        <f>Sheet1!H51</f>
        <v>0.42</v>
      </c>
      <c r="E51">
        <f>Sheet1!P51</f>
        <v>69</v>
      </c>
      <c r="F51">
        <f>Sheet1!I51</f>
        <v>814201</v>
      </c>
      <c r="G51" t="str">
        <f t="shared" si="0"/>
        <v>Manual Review</v>
      </c>
    </row>
    <row r="52" spans="1:7">
      <c r="A52" t="str">
        <f>Sheet1!A52</f>
        <v>C051</v>
      </c>
      <c r="B52" t="str">
        <f>Sheet1!B52</f>
        <v>Greene and Sons</v>
      </c>
      <c r="C52">
        <f>Sheet1!R52</f>
        <v>67</v>
      </c>
      <c r="D52">
        <f>Sheet1!H52</f>
        <v>0.61</v>
      </c>
      <c r="E52">
        <f>Sheet1!P52</f>
        <v>90</v>
      </c>
      <c r="F52">
        <f>Sheet1!I52</f>
        <v>-4213</v>
      </c>
      <c r="G52" t="str">
        <f t="shared" si="0"/>
        <v>Manual Review</v>
      </c>
    </row>
    <row r="53" spans="1:7">
      <c r="A53" t="str">
        <f>Sheet1!A53</f>
        <v>C052</v>
      </c>
      <c r="B53" t="str">
        <f>Sheet1!B53</f>
        <v>Spencer Ltd</v>
      </c>
      <c r="C53">
        <f>Sheet1!R53</f>
        <v>81</v>
      </c>
      <c r="D53">
        <f>Sheet1!H53</f>
        <v>0.37</v>
      </c>
      <c r="E53">
        <f>Sheet1!P53</f>
        <v>92</v>
      </c>
      <c r="F53">
        <f>Sheet1!I53</f>
        <v>318026</v>
      </c>
      <c r="G53" t="str">
        <f t="shared" si="0"/>
        <v>Approved</v>
      </c>
    </row>
    <row r="54" spans="1:7">
      <c r="A54" t="str">
        <f>Sheet1!A54</f>
        <v>C053</v>
      </c>
      <c r="B54" t="str">
        <f>Sheet1!B54</f>
        <v>Edwards-Davis</v>
      </c>
      <c r="C54">
        <f>Sheet1!R54</f>
        <v>78</v>
      </c>
      <c r="D54">
        <f>Sheet1!H54</f>
        <v>0.34</v>
      </c>
      <c r="E54">
        <f>Sheet1!P54</f>
        <v>81</v>
      </c>
      <c r="F54">
        <f>Sheet1!I54</f>
        <v>909985</v>
      </c>
      <c r="G54" t="str">
        <f t="shared" si="0"/>
        <v>Approved</v>
      </c>
    </row>
    <row r="55" spans="1:7">
      <c r="A55" t="str">
        <f>Sheet1!A55</f>
        <v>C054</v>
      </c>
      <c r="B55" t="str">
        <f>Sheet1!B55</f>
        <v>Myers-Hall</v>
      </c>
      <c r="C55">
        <f>Sheet1!R55</f>
        <v>75</v>
      </c>
      <c r="D55">
        <f>Sheet1!H55</f>
        <v>0.56999999999999995</v>
      </c>
      <c r="E55">
        <f>Sheet1!P55</f>
        <v>98</v>
      </c>
      <c r="F55">
        <f>Sheet1!I55</f>
        <v>901412</v>
      </c>
      <c r="G55" t="str">
        <f t="shared" si="0"/>
        <v>Approved</v>
      </c>
    </row>
    <row r="56" spans="1:7">
      <c r="A56" t="str">
        <f>Sheet1!A56</f>
        <v>C055</v>
      </c>
      <c r="B56" t="str">
        <f>Sheet1!B56</f>
        <v>Hammond, Wood and Ramirez</v>
      </c>
      <c r="C56">
        <f>Sheet1!R56</f>
        <v>57</v>
      </c>
      <c r="D56">
        <f>Sheet1!H56</f>
        <v>1.1499999999999999</v>
      </c>
      <c r="E56">
        <f>Sheet1!P56</f>
        <v>93</v>
      </c>
      <c r="F56">
        <f>Sheet1!I56</f>
        <v>177605</v>
      </c>
      <c r="G56" t="str">
        <f t="shared" si="0"/>
        <v>Manual Review</v>
      </c>
    </row>
    <row r="57" spans="1:7">
      <c r="A57" t="str">
        <f>Sheet1!A57</f>
        <v>C056</v>
      </c>
      <c r="B57" t="str">
        <f>Sheet1!B57</f>
        <v>Figueroa-Young</v>
      </c>
      <c r="C57">
        <f>Sheet1!R57</f>
        <v>75</v>
      </c>
      <c r="D57">
        <f>Sheet1!H57</f>
        <v>0.15</v>
      </c>
      <c r="E57">
        <f>Sheet1!P57</f>
        <v>68</v>
      </c>
      <c r="F57">
        <f>Sheet1!I57</f>
        <v>850549</v>
      </c>
      <c r="G57" t="str">
        <f t="shared" si="0"/>
        <v>Approved</v>
      </c>
    </row>
    <row r="58" spans="1:7">
      <c r="A58" t="str">
        <f>Sheet1!A58</f>
        <v>C057</v>
      </c>
      <c r="B58" t="str">
        <f>Sheet1!B58</f>
        <v>Owens, Nichols and Welch</v>
      </c>
      <c r="C58">
        <f>Sheet1!R58</f>
        <v>61</v>
      </c>
      <c r="D58">
        <f>Sheet1!H58</f>
        <v>0.16</v>
      </c>
      <c r="E58">
        <f>Sheet1!P58</f>
        <v>64</v>
      </c>
      <c r="F58">
        <f>Sheet1!I58</f>
        <v>547100</v>
      </c>
      <c r="G58" t="str">
        <f t="shared" si="0"/>
        <v>Manual Review</v>
      </c>
    </row>
    <row r="59" spans="1:7">
      <c r="A59" t="str">
        <f>Sheet1!A59</f>
        <v>C058</v>
      </c>
      <c r="B59" t="str">
        <f>Sheet1!B59</f>
        <v>Lewis Group</v>
      </c>
      <c r="C59">
        <f>Sheet1!R59</f>
        <v>56</v>
      </c>
      <c r="D59">
        <f>Sheet1!H59</f>
        <v>0.48</v>
      </c>
      <c r="E59">
        <f>Sheet1!P59</f>
        <v>66</v>
      </c>
      <c r="F59">
        <f>Sheet1!I59</f>
        <v>411276</v>
      </c>
      <c r="G59" t="str">
        <f t="shared" si="0"/>
        <v>Manual Review</v>
      </c>
    </row>
    <row r="60" spans="1:7">
      <c r="A60" t="str">
        <f>Sheet1!A60</f>
        <v>C059</v>
      </c>
      <c r="B60" t="str">
        <f>Sheet1!B60</f>
        <v>Clark and Sons</v>
      </c>
      <c r="C60">
        <f>Sheet1!R60</f>
        <v>61</v>
      </c>
      <c r="D60">
        <f>Sheet1!H60</f>
        <v>0.47</v>
      </c>
      <c r="E60">
        <f>Sheet1!P60</f>
        <v>72</v>
      </c>
      <c r="F60">
        <f>Sheet1!I60</f>
        <v>350795</v>
      </c>
      <c r="G60" t="str">
        <f t="shared" si="0"/>
        <v>Manual Review</v>
      </c>
    </row>
    <row r="61" spans="1:7">
      <c r="A61" t="str">
        <f>Sheet1!A61</f>
        <v>C060</v>
      </c>
      <c r="B61" t="str">
        <f>Sheet1!B61</f>
        <v>Pacheco Ltd</v>
      </c>
      <c r="C61">
        <f>Sheet1!R61</f>
        <v>78</v>
      </c>
      <c r="D61">
        <f>Sheet1!H61</f>
        <v>0.23</v>
      </c>
      <c r="E61">
        <f>Sheet1!P61</f>
        <v>90</v>
      </c>
      <c r="F61">
        <f>Sheet1!I61</f>
        <v>484900</v>
      </c>
      <c r="G61" t="str">
        <f t="shared" si="0"/>
        <v>Approved</v>
      </c>
    </row>
    <row r="62" spans="1:7">
      <c r="A62" t="str">
        <f>Sheet1!A62</f>
        <v>C061</v>
      </c>
      <c r="B62" t="str">
        <f>Sheet1!B62</f>
        <v>Johnson and Sons</v>
      </c>
      <c r="C62">
        <f>Sheet1!R62</f>
        <v>64</v>
      </c>
      <c r="D62">
        <f>Sheet1!H62</f>
        <v>0.64</v>
      </c>
      <c r="E62">
        <f>Sheet1!P62</f>
        <v>99</v>
      </c>
      <c r="F62">
        <f>Sheet1!I62</f>
        <v>854803</v>
      </c>
      <c r="G62" t="str">
        <f t="shared" si="0"/>
        <v>Manual Review</v>
      </c>
    </row>
    <row r="63" spans="1:7">
      <c r="A63" t="str">
        <f>Sheet1!A63</f>
        <v>C062</v>
      </c>
      <c r="B63" t="str">
        <f>Sheet1!B63</f>
        <v>Jensen-Goodwin</v>
      </c>
      <c r="C63">
        <f>Sheet1!R63</f>
        <v>71</v>
      </c>
      <c r="D63">
        <f>Sheet1!H63</f>
        <v>0.17</v>
      </c>
      <c r="E63">
        <f>Sheet1!P63</f>
        <v>75</v>
      </c>
      <c r="F63">
        <f>Sheet1!I63</f>
        <v>190875</v>
      </c>
      <c r="G63" t="str">
        <f t="shared" si="0"/>
        <v>Approved</v>
      </c>
    </row>
    <row r="64" spans="1:7">
      <c r="A64" t="str">
        <f>Sheet1!A64</f>
        <v>C063</v>
      </c>
      <c r="B64" t="str">
        <f>Sheet1!B64</f>
        <v>Vaughn Group</v>
      </c>
      <c r="C64">
        <f>Sheet1!R64</f>
        <v>67</v>
      </c>
      <c r="D64">
        <f>Sheet1!H64</f>
        <v>0.86</v>
      </c>
      <c r="E64">
        <f>Sheet1!P64</f>
        <v>78</v>
      </c>
      <c r="F64">
        <f>Sheet1!I64</f>
        <v>760290</v>
      </c>
      <c r="G64" t="str">
        <f t="shared" si="0"/>
        <v>Manual Review</v>
      </c>
    </row>
    <row r="65" spans="1:7">
      <c r="A65" t="str">
        <f>Sheet1!A65</f>
        <v>C064</v>
      </c>
      <c r="B65" t="str">
        <f>Sheet1!B65</f>
        <v>Mccormick LLC</v>
      </c>
      <c r="C65">
        <f>Sheet1!R65</f>
        <v>49</v>
      </c>
      <c r="D65">
        <f>Sheet1!H65</f>
        <v>1.17</v>
      </c>
      <c r="E65">
        <f>Sheet1!P65</f>
        <v>83</v>
      </c>
      <c r="F65">
        <f>Sheet1!I65</f>
        <v>379535</v>
      </c>
      <c r="G65" t="str">
        <f t="shared" si="0"/>
        <v>Rejected</v>
      </c>
    </row>
    <row r="66" spans="1:7">
      <c r="A66" t="str">
        <f>Sheet1!A66</f>
        <v>C065</v>
      </c>
      <c r="B66" t="str">
        <f>Sheet1!B66</f>
        <v>Harrington-Weaver</v>
      </c>
      <c r="C66">
        <f>Sheet1!R66</f>
        <v>44</v>
      </c>
      <c r="D66">
        <f>Sheet1!H66</f>
        <v>1.1399999999999999</v>
      </c>
      <c r="E66">
        <f>Sheet1!P66</f>
        <v>70</v>
      </c>
      <c r="F66">
        <f>Sheet1!I66</f>
        <v>800275</v>
      </c>
      <c r="G66" t="str">
        <f t="shared" ref="G66:G129" si="1">IF(AND(C66&gt;=70,D66&lt;=1,E66&gt;=60),"Approved",IF(OR(C66&lt;50,D66&gt;2),"Rejected","Manual Review"))</f>
        <v>Rejected</v>
      </c>
    </row>
    <row r="67" spans="1:7">
      <c r="A67" t="str">
        <f>Sheet1!A67</f>
        <v>C066</v>
      </c>
      <c r="B67" t="str">
        <f>Sheet1!B67</f>
        <v>Powell, Rodriguez and Rosales</v>
      </c>
      <c r="C67">
        <f>Sheet1!R67</f>
        <v>85</v>
      </c>
      <c r="D67">
        <f>Sheet1!H67</f>
        <v>0.2</v>
      </c>
      <c r="E67">
        <f>Sheet1!P67</f>
        <v>88</v>
      </c>
      <c r="F67">
        <f>Sheet1!I67</f>
        <v>935387</v>
      </c>
      <c r="G67" t="str">
        <f t="shared" si="1"/>
        <v>Approved</v>
      </c>
    </row>
    <row r="68" spans="1:7">
      <c r="A68" t="str">
        <f>Sheet1!A68</f>
        <v>C067</v>
      </c>
      <c r="B68" t="str">
        <f>Sheet1!B68</f>
        <v>Briggs, Lucas and Schroeder</v>
      </c>
      <c r="C68">
        <f>Sheet1!R68</f>
        <v>58</v>
      </c>
      <c r="D68">
        <f>Sheet1!H68</f>
        <v>0.56000000000000005</v>
      </c>
      <c r="E68">
        <f>Sheet1!P68</f>
        <v>78</v>
      </c>
      <c r="F68">
        <f>Sheet1!I68</f>
        <v>427563</v>
      </c>
      <c r="G68" t="str">
        <f t="shared" si="1"/>
        <v>Manual Review</v>
      </c>
    </row>
    <row r="69" spans="1:7">
      <c r="A69" t="str">
        <f>Sheet1!A69</f>
        <v>C068</v>
      </c>
      <c r="B69" t="str">
        <f>Sheet1!B69</f>
        <v>Williams, Thomas and Evans</v>
      </c>
      <c r="C69">
        <f>Sheet1!R69</f>
        <v>63</v>
      </c>
      <c r="D69">
        <f>Sheet1!H69</f>
        <v>1.1200000000000001</v>
      </c>
      <c r="E69">
        <f>Sheet1!P69</f>
        <v>87</v>
      </c>
      <c r="F69">
        <f>Sheet1!I69</f>
        <v>834606</v>
      </c>
      <c r="G69" t="str">
        <f t="shared" si="1"/>
        <v>Manual Review</v>
      </c>
    </row>
    <row r="70" spans="1:7">
      <c r="A70" t="str">
        <f>Sheet1!A70</f>
        <v>C069</v>
      </c>
      <c r="B70" t="str">
        <f>Sheet1!B70</f>
        <v>Brooks, Bradley and Blake</v>
      </c>
      <c r="C70">
        <f>Sheet1!R70</f>
        <v>62</v>
      </c>
      <c r="D70">
        <f>Sheet1!H70</f>
        <v>0.74</v>
      </c>
      <c r="E70">
        <f>Sheet1!P70</f>
        <v>75</v>
      </c>
      <c r="F70">
        <f>Sheet1!I70</f>
        <v>381302</v>
      </c>
      <c r="G70" t="str">
        <f t="shared" si="1"/>
        <v>Manual Review</v>
      </c>
    </row>
    <row r="71" spans="1:7">
      <c r="A71" t="str">
        <f>Sheet1!A71</f>
        <v>C070</v>
      </c>
      <c r="B71" t="str">
        <f>Sheet1!B71</f>
        <v>Christensen-Brown</v>
      </c>
      <c r="C71">
        <f>Sheet1!R71</f>
        <v>69</v>
      </c>
      <c r="D71">
        <f>Sheet1!H71</f>
        <v>0.68</v>
      </c>
      <c r="E71">
        <f>Sheet1!P71</f>
        <v>93</v>
      </c>
      <c r="F71">
        <f>Sheet1!I71</f>
        <v>127724</v>
      </c>
      <c r="G71" t="str">
        <f t="shared" si="1"/>
        <v>Manual Review</v>
      </c>
    </row>
    <row r="72" spans="1:7">
      <c r="A72" t="str">
        <f>Sheet1!A72</f>
        <v>C071</v>
      </c>
      <c r="B72" t="str">
        <f>Sheet1!B72</f>
        <v>Medina Group</v>
      </c>
      <c r="C72">
        <f>Sheet1!R72</f>
        <v>77</v>
      </c>
      <c r="D72">
        <f>Sheet1!H72</f>
        <v>0.61</v>
      </c>
      <c r="E72">
        <f>Sheet1!P72</f>
        <v>95</v>
      </c>
      <c r="F72">
        <f>Sheet1!I72</f>
        <v>573325</v>
      </c>
      <c r="G72" t="str">
        <f t="shared" si="1"/>
        <v>Approved</v>
      </c>
    </row>
    <row r="73" spans="1:7">
      <c r="A73" t="str">
        <f>Sheet1!A73</f>
        <v>C072</v>
      </c>
      <c r="B73" t="str">
        <f>Sheet1!B73</f>
        <v>Rodriguez, Roberts and Bowman</v>
      </c>
      <c r="C73">
        <f>Sheet1!R73</f>
        <v>61</v>
      </c>
      <c r="D73">
        <f>Sheet1!H73</f>
        <v>0.43</v>
      </c>
      <c r="E73">
        <f>Sheet1!P73</f>
        <v>64</v>
      </c>
      <c r="F73">
        <f>Sheet1!I73</f>
        <v>-95155</v>
      </c>
      <c r="G73" t="str">
        <f t="shared" si="1"/>
        <v>Manual Review</v>
      </c>
    </row>
    <row r="74" spans="1:7">
      <c r="A74" t="str">
        <f>Sheet1!A74</f>
        <v>C073</v>
      </c>
      <c r="B74" t="str">
        <f>Sheet1!B74</f>
        <v>Lang Ltd</v>
      </c>
      <c r="C74">
        <f>Sheet1!R74</f>
        <v>51</v>
      </c>
      <c r="D74">
        <f>Sheet1!H74</f>
        <v>1.18</v>
      </c>
      <c r="E74">
        <f>Sheet1!P74</f>
        <v>83</v>
      </c>
      <c r="F74">
        <f>Sheet1!I74</f>
        <v>82440</v>
      </c>
      <c r="G74" t="str">
        <f t="shared" si="1"/>
        <v>Manual Review</v>
      </c>
    </row>
    <row r="75" spans="1:7">
      <c r="A75" t="str">
        <f>Sheet1!A75</f>
        <v>C074</v>
      </c>
      <c r="B75" t="str">
        <f>Sheet1!B75</f>
        <v>Patterson, Townsend and Berry</v>
      </c>
      <c r="C75">
        <f>Sheet1!R75</f>
        <v>60</v>
      </c>
      <c r="D75">
        <f>Sheet1!H75</f>
        <v>1.03</v>
      </c>
      <c r="E75">
        <f>Sheet1!P75</f>
        <v>88</v>
      </c>
      <c r="F75">
        <f>Sheet1!I75</f>
        <v>902416</v>
      </c>
      <c r="G75" t="str">
        <f t="shared" si="1"/>
        <v>Manual Review</v>
      </c>
    </row>
    <row r="76" spans="1:7">
      <c r="A76" t="str">
        <f>Sheet1!A76</f>
        <v>C075</v>
      </c>
      <c r="B76" t="str">
        <f>Sheet1!B76</f>
        <v>Estrada LLC</v>
      </c>
      <c r="C76">
        <f>Sheet1!R76</f>
        <v>61</v>
      </c>
      <c r="D76">
        <f>Sheet1!H76</f>
        <v>0.97</v>
      </c>
      <c r="E76">
        <f>Sheet1!P76</f>
        <v>100</v>
      </c>
      <c r="F76">
        <f>Sheet1!I76</f>
        <v>207870</v>
      </c>
      <c r="G76" t="str">
        <f t="shared" si="1"/>
        <v>Manual Review</v>
      </c>
    </row>
    <row r="77" spans="1:7">
      <c r="A77" t="str">
        <f>Sheet1!A77</f>
        <v>C076</v>
      </c>
      <c r="B77" t="str">
        <f>Sheet1!B77</f>
        <v>Sullivan Inc</v>
      </c>
      <c r="C77">
        <f>Sheet1!R77</f>
        <v>54</v>
      </c>
      <c r="D77">
        <f>Sheet1!H77</f>
        <v>0.84</v>
      </c>
      <c r="E77">
        <f>Sheet1!P77</f>
        <v>72</v>
      </c>
      <c r="F77">
        <f>Sheet1!I77</f>
        <v>902588</v>
      </c>
      <c r="G77" t="str">
        <f t="shared" si="1"/>
        <v>Manual Review</v>
      </c>
    </row>
    <row r="78" spans="1:7">
      <c r="A78" t="str">
        <f>Sheet1!A78</f>
        <v>C077</v>
      </c>
      <c r="B78" t="str">
        <f>Sheet1!B78</f>
        <v>Ibarra-Cross</v>
      </c>
      <c r="C78">
        <f>Sheet1!R78</f>
        <v>70</v>
      </c>
      <c r="D78">
        <f>Sheet1!H78</f>
        <v>0.27</v>
      </c>
      <c r="E78">
        <f>Sheet1!P78</f>
        <v>80</v>
      </c>
      <c r="F78">
        <f>Sheet1!I78</f>
        <v>636825</v>
      </c>
      <c r="G78" t="str">
        <f t="shared" si="1"/>
        <v>Approved</v>
      </c>
    </row>
    <row r="79" spans="1:7">
      <c r="A79" t="str">
        <f>Sheet1!A79</f>
        <v>C078</v>
      </c>
      <c r="B79" t="str">
        <f>Sheet1!B79</f>
        <v>Harris PLC</v>
      </c>
      <c r="C79">
        <f>Sheet1!R79</f>
        <v>63</v>
      </c>
      <c r="D79">
        <f>Sheet1!H79</f>
        <v>0.76</v>
      </c>
      <c r="E79">
        <f>Sheet1!P79</f>
        <v>65</v>
      </c>
      <c r="F79">
        <f>Sheet1!I79</f>
        <v>372270</v>
      </c>
      <c r="G79" t="str">
        <f t="shared" si="1"/>
        <v>Manual Review</v>
      </c>
    </row>
    <row r="80" spans="1:7">
      <c r="A80" t="str">
        <f>Sheet1!A80</f>
        <v>C079</v>
      </c>
      <c r="B80" t="str">
        <f>Sheet1!B80</f>
        <v>Paul LLC</v>
      </c>
      <c r="C80">
        <f>Sheet1!R80</f>
        <v>58</v>
      </c>
      <c r="D80">
        <f>Sheet1!H80</f>
        <v>0.34</v>
      </c>
      <c r="E80">
        <f>Sheet1!P80</f>
        <v>71</v>
      </c>
      <c r="F80">
        <f>Sheet1!I80</f>
        <v>184326</v>
      </c>
      <c r="G80" t="str">
        <f t="shared" si="1"/>
        <v>Manual Review</v>
      </c>
    </row>
    <row r="81" spans="1:7">
      <c r="A81" t="str">
        <f>Sheet1!A81</f>
        <v>C080</v>
      </c>
      <c r="B81" t="str">
        <f>Sheet1!B81</f>
        <v>Conway, Reyes and Johnson</v>
      </c>
      <c r="C81">
        <f>Sheet1!R81</f>
        <v>64</v>
      </c>
      <c r="D81">
        <f>Sheet1!H81</f>
        <v>0.44</v>
      </c>
      <c r="E81">
        <f>Sheet1!P81</f>
        <v>74</v>
      </c>
      <c r="F81">
        <f>Sheet1!I81</f>
        <v>67003</v>
      </c>
      <c r="G81" t="str">
        <f t="shared" si="1"/>
        <v>Manual Review</v>
      </c>
    </row>
    <row r="82" spans="1:7">
      <c r="A82" t="str">
        <f>Sheet1!A82</f>
        <v>C081</v>
      </c>
      <c r="B82" t="str">
        <f>Sheet1!B82</f>
        <v>Richardson and Sons</v>
      </c>
      <c r="C82">
        <f>Sheet1!R82</f>
        <v>60</v>
      </c>
      <c r="D82">
        <f>Sheet1!H82</f>
        <v>0.55000000000000004</v>
      </c>
      <c r="E82">
        <f>Sheet1!P82</f>
        <v>89</v>
      </c>
      <c r="F82">
        <f>Sheet1!I82</f>
        <v>-41278</v>
      </c>
      <c r="G82" t="str">
        <f t="shared" si="1"/>
        <v>Manual Review</v>
      </c>
    </row>
    <row r="83" spans="1:7">
      <c r="A83" t="str">
        <f>Sheet1!A83</f>
        <v>C082</v>
      </c>
      <c r="B83" t="str">
        <f>Sheet1!B83</f>
        <v>Butler and Sons</v>
      </c>
      <c r="C83">
        <f>Sheet1!R83</f>
        <v>77</v>
      </c>
      <c r="D83">
        <f>Sheet1!H83</f>
        <v>0.32</v>
      </c>
      <c r="E83">
        <f>Sheet1!P83</f>
        <v>76</v>
      </c>
      <c r="F83">
        <f>Sheet1!I83</f>
        <v>238301</v>
      </c>
      <c r="G83" t="str">
        <f t="shared" si="1"/>
        <v>Approved</v>
      </c>
    </row>
    <row r="84" spans="1:7">
      <c r="A84" t="str">
        <f>Sheet1!A84</f>
        <v>C083</v>
      </c>
      <c r="B84" t="str">
        <f>Sheet1!B84</f>
        <v>Davis-Baker</v>
      </c>
      <c r="C84">
        <f>Sheet1!R84</f>
        <v>62</v>
      </c>
      <c r="D84">
        <f>Sheet1!H84</f>
        <v>0.94</v>
      </c>
      <c r="E84">
        <f>Sheet1!P84</f>
        <v>64</v>
      </c>
      <c r="F84">
        <f>Sheet1!I84</f>
        <v>29252</v>
      </c>
      <c r="G84" t="str">
        <f t="shared" si="1"/>
        <v>Manual Review</v>
      </c>
    </row>
    <row r="85" spans="1:7">
      <c r="A85" t="str">
        <f>Sheet1!A85</f>
        <v>C084</v>
      </c>
      <c r="B85" t="str">
        <f>Sheet1!B85</f>
        <v>Marquez, Turner and Jones</v>
      </c>
      <c r="C85">
        <f>Sheet1!R85</f>
        <v>79</v>
      </c>
      <c r="D85">
        <f>Sheet1!H85</f>
        <v>0.52</v>
      </c>
      <c r="E85">
        <f>Sheet1!P85</f>
        <v>98</v>
      </c>
      <c r="F85">
        <f>Sheet1!I85</f>
        <v>-16518</v>
      </c>
      <c r="G85" t="str">
        <f t="shared" si="1"/>
        <v>Approved</v>
      </c>
    </row>
    <row r="86" spans="1:7">
      <c r="A86" t="str">
        <f>Sheet1!A86</f>
        <v>C085</v>
      </c>
      <c r="B86" t="str">
        <f>Sheet1!B86</f>
        <v>Owens, Martin and Jennings</v>
      </c>
      <c r="C86">
        <f>Sheet1!R86</f>
        <v>62</v>
      </c>
      <c r="D86">
        <f>Sheet1!H86</f>
        <v>1.1299999999999999</v>
      </c>
      <c r="E86">
        <f>Sheet1!P86</f>
        <v>78</v>
      </c>
      <c r="F86">
        <f>Sheet1!I86</f>
        <v>239943</v>
      </c>
      <c r="G86" t="str">
        <f t="shared" si="1"/>
        <v>Manual Review</v>
      </c>
    </row>
    <row r="87" spans="1:7">
      <c r="A87" t="str">
        <f>Sheet1!A87</f>
        <v>C086</v>
      </c>
      <c r="B87" t="str">
        <f>Sheet1!B87</f>
        <v>Jones Inc</v>
      </c>
      <c r="C87">
        <f>Sheet1!R87</f>
        <v>52</v>
      </c>
      <c r="D87">
        <f>Sheet1!H87</f>
        <v>1.17</v>
      </c>
      <c r="E87">
        <f>Sheet1!P87</f>
        <v>63</v>
      </c>
      <c r="F87">
        <f>Sheet1!I87</f>
        <v>207903</v>
      </c>
      <c r="G87" t="str">
        <f t="shared" si="1"/>
        <v>Manual Review</v>
      </c>
    </row>
    <row r="88" spans="1:7">
      <c r="A88" t="str">
        <f>Sheet1!A88</f>
        <v>C087</v>
      </c>
      <c r="B88" t="str">
        <f>Sheet1!B88</f>
        <v>Hart Group</v>
      </c>
      <c r="C88">
        <f>Sheet1!R88</f>
        <v>70</v>
      </c>
      <c r="D88">
        <f>Sheet1!H88</f>
        <v>0.22</v>
      </c>
      <c r="E88">
        <f>Sheet1!P88</f>
        <v>90</v>
      </c>
      <c r="F88">
        <f>Sheet1!I88</f>
        <v>194571</v>
      </c>
      <c r="G88" t="str">
        <f t="shared" si="1"/>
        <v>Approved</v>
      </c>
    </row>
    <row r="89" spans="1:7">
      <c r="A89" t="str">
        <f>Sheet1!A89</f>
        <v>C088</v>
      </c>
      <c r="B89" t="str">
        <f>Sheet1!B89</f>
        <v>Lane, Fernandez and Bryant</v>
      </c>
      <c r="C89">
        <f>Sheet1!R89</f>
        <v>51</v>
      </c>
      <c r="D89">
        <f>Sheet1!H89</f>
        <v>0.56000000000000005</v>
      </c>
      <c r="E89">
        <f>Sheet1!P89</f>
        <v>65</v>
      </c>
      <c r="F89">
        <f>Sheet1!I89</f>
        <v>400735</v>
      </c>
      <c r="G89" t="str">
        <f t="shared" si="1"/>
        <v>Manual Review</v>
      </c>
    </row>
    <row r="90" spans="1:7">
      <c r="A90" t="str">
        <f>Sheet1!A90</f>
        <v>C089</v>
      </c>
      <c r="B90" t="str">
        <f>Sheet1!B90</f>
        <v>Cunningham, Hoffman and Smith</v>
      </c>
      <c r="C90">
        <f>Sheet1!R90</f>
        <v>71</v>
      </c>
      <c r="D90">
        <f>Sheet1!H90</f>
        <v>0.98</v>
      </c>
      <c r="E90">
        <f>Sheet1!P90</f>
        <v>100</v>
      </c>
      <c r="F90">
        <f>Sheet1!I90</f>
        <v>670112</v>
      </c>
      <c r="G90" t="str">
        <f t="shared" si="1"/>
        <v>Approved</v>
      </c>
    </row>
    <row r="91" spans="1:7">
      <c r="A91" t="str">
        <f>Sheet1!A91</f>
        <v>C090</v>
      </c>
      <c r="B91" t="str">
        <f>Sheet1!B91</f>
        <v>Smith, Perkins and Hanson</v>
      </c>
      <c r="C91">
        <f>Sheet1!R91</f>
        <v>60</v>
      </c>
      <c r="D91">
        <f>Sheet1!H91</f>
        <v>0.4</v>
      </c>
      <c r="E91">
        <f>Sheet1!P91</f>
        <v>73</v>
      </c>
      <c r="F91">
        <f>Sheet1!I91</f>
        <v>93376</v>
      </c>
      <c r="G91" t="str">
        <f t="shared" si="1"/>
        <v>Manual Review</v>
      </c>
    </row>
    <row r="92" spans="1:7">
      <c r="A92" t="str">
        <f>Sheet1!A92</f>
        <v>C091</v>
      </c>
      <c r="B92" t="str">
        <f>Sheet1!B92</f>
        <v>Davis LLC</v>
      </c>
      <c r="C92">
        <f>Sheet1!R92</f>
        <v>76</v>
      </c>
      <c r="D92">
        <f>Sheet1!H92</f>
        <v>0.43</v>
      </c>
      <c r="E92">
        <f>Sheet1!P92</f>
        <v>76</v>
      </c>
      <c r="F92">
        <f>Sheet1!I92</f>
        <v>134617</v>
      </c>
      <c r="G92" t="str">
        <f t="shared" si="1"/>
        <v>Approved</v>
      </c>
    </row>
    <row r="93" spans="1:7">
      <c r="A93" t="str">
        <f>Sheet1!A93</f>
        <v>C092</v>
      </c>
      <c r="B93" t="str">
        <f>Sheet1!B93</f>
        <v>Woodward-Jackson</v>
      </c>
      <c r="C93">
        <f>Sheet1!R93</f>
        <v>56</v>
      </c>
      <c r="D93">
        <f>Sheet1!H93</f>
        <v>0.6</v>
      </c>
      <c r="E93">
        <f>Sheet1!P93</f>
        <v>85</v>
      </c>
      <c r="F93">
        <f>Sheet1!I93</f>
        <v>841370</v>
      </c>
      <c r="G93" t="str">
        <f t="shared" si="1"/>
        <v>Manual Review</v>
      </c>
    </row>
    <row r="94" spans="1:7">
      <c r="A94" t="str">
        <f>Sheet1!A94</f>
        <v>C093</v>
      </c>
      <c r="B94" t="str">
        <f>Sheet1!B94</f>
        <v>Williams, Mullins and White</v>
      </c>
      <c r="C94">
        <f>Sheet1!R94</f>
        <v>47</v>
      </c>
      <c r="D94">
        <f>Sheet1!H94</f>
        <v>1.05</v>
      </c>
      <c r="E94">
        <f>Sheet1!P94</f>
        <v>62</v>
      </c>
      <c r="F94">
        <f>Sheet1!I94</f>
        <v>637542</v>
      </c>
      <c r="G94" t="str">
        <f t="shared" si="1"/>
        <v>Rejected</v>
      </c>
    </row>
    <row r="95" spans="1:7">
      <c r="A95" t="str">
        <f>Sheet1!A95</f>
        <v>C094</v>
      </c>
      <c r="B95" t="str">
        <f>Sheet1!B95</f>
        <v>Walker and Sons</v>
      </c>
      <c r="C95">
        <f>Sheet1!R95</f>
        <v>58</v>
      </c>
      <c r="D95">
        <f>Sheet1!H95</f>
        <v>0.3</v>
      </c>
      <c r="E95">
        <f>Sheet1!P95</f>
        <v>63</v>
      </c>
      <c r="F95">
        <f>Sheet1!I95</f>
        <v>-44932</v>
      </c>
      <c r="G95" t="str">
        <f t="shared" si="1"/>
        <v>Manual Review</v>
      </c>
    </row>
    <row r="96" spans="1:7">
      <c r="A96" t="str">
        <f>Sheet1!A96</f>
        <v>C095</v>
      </c>
      <c r="B96" t="str">
        <f>Sheet1!B96</f>
        <v>Hall Group</v>
      </c>
      <c r="C96">
        <f>Sheet1!R96</f>
        <v>57</v>
      </c>
      <c r="D96">
        <f>Sheet1!H96</f>
        <v>0.64</v>
      </c>
      <c r="E96">
        <f>Sheet1!P96</f>
        <v>71</v>
      </c>
      <c r="F96">
        <f>Sheet1!I96</f>
        <v>155394</v>
      </c>
      <c r="G96" t="str">
        <f t="shared" si="1"/>
        <v>Manual Review</v>
      </c>
    </row>
    <row r="97" spans="1:7">
      <c r="A97" t="str">
        <f>Sheet1!A97</f>
        <v>C096</v>
      </c>
      <c r="B97" t="str">
        <f>Sheet1!B97</f>
        <v>Hunt-Dean</v>
      </c>
      <c r="C97">
        <f>Sheet1!R97</f>
        <v>73</v>
      </c>
      <c r="D97">
        <f>Sheet1!H97</f>
        <v>0.39</v>
      </c>
      <c r="E97">
        <f>Sheet1!P97</f>
        <v>68</v>
      </c>
      <c r="F97">
        <f>Sheet1!I97</f>
        <v>742381</v>
      </c>
      <c r="G97" t="str">
        <f t="shared" si="1"/>
        <v>Approved</v>
      </c>
    </row>
    <row r="98" spans="1:7">
      <c r="A98" t="str">
        <f>Sheet1!A98</f>
        <v>C097</v>
      </c>
      <c r="B98" t="str">
        <f>Sheet1!B98</f>
        <v>Brown, Williams and Bennett</v>
      </c>
      <c r="C98">
        <f>Sheet1!R98</f>
        <v>62</v>
      </c>
      <c r="D98">
        <f>Sheet1!H98</f>
        <v>0.52</v>
      </c>
      <c r="E98">
        <f>Sheet1!P98</f>
        <v>85</v>
      </c>
      <c r="F98">
        <f>Sheet1!I98</f>
        <v>457515</v>
      </c>
      <c r="G98" t="str">
        <f t="shared" si="1"/>
        <v>Manual Review</v>
      </c>
    </row>
    <row r="99" spans="1:7">
      <c r="A99" t="str">
        <f>Sheet1!A99</f>
        <v>C098</v>
      </c>
      <c r="B99" t="str">
        <f>Sheet1!B99</f>
        <v>Blackwell, Cox and Morales</v>
      </c>
      <c r="C99">
        <f>Sheet1!R99</f>
        <v>59</v>
      </c>
      <c r="D99">
        <f>Sheet1!H99</f>
        <v>0.73</v>
      </c>
      <c r="E99">
        <f>Sheet1!P99</f>
        <v>91</v>
      </c>
      <c r="F99">
        <f>Sheet1!I99</f>
        <v>365558</v>
      </c>
      <c r="G99" t="str">
        <f t="shared" si="1"/>
        <v>Manual Review</v>
      </c>
    </row>
    <row r="100" spans="1:7">
      <c r="A100" t="str">
        <f>Sheet1!A100</f>
        <v>C099</v>
      </c>
      <c r="B100" t="str">
        <f>Sheet1!B100</f>
        <v>Martinez-Taylor</v>
      </c>
      <c r="C100">
        <f>Sheet1!R100</f>
        <v>51</v>
      </c>
      <c r="D100">
        <f>Sheet1!H100</f>
        <v>0.98</v>
      </c>
      <c r="E100">
        <f>Sheet1!P100</f>
        <v>72</v>
      </c>
      <c r="F100">
        <f>Sheet1!I100</f>
        <v>309036</v>
      </c>
      <c r="G100" t="str">
        <f t="shared" si="1"/>
        <v>Manual Review</v>
      </c>
    </row>
    <row r="101" spans="1:7">
      <c r="A101" t="str">
        <f>Sheet1!A101</f>
        <v>C100</v>
      </c>
      <c r="B101" t="str">
        <f>Sheet1!B101</f>
        <v>Thomas Group</v>
      </c>
      <c r="C101">
        <f>Sheet1!R101</f>
        <v>63</v>
      </c>
      <c r="D101">
        <f>Sheet1!H101</f>
        <v>0.56000000000000005</v>
      </c>
      <c r="E101">
        <f>Sheet1!P101</f>
        <v>66</v>
      </c>
      <c r="F101">
        <f>Sheet1!I101</f>
        <v>393649</v>
      </c>
      <c r="G101" t="str">
        <f t="shared" si="1"/>
        <v>Manual Review</v>
      </c>
    </row>
    <row r="102" spans="1:7">
      <c r="A102" t="str">
        <f>Sheet1!A102</f>
        <v>C101</v>
      </c>
      <c r="B102" t="str">
        <f>Sheet1!B102</f>
        <v>Kline LLC</v>
      </c>
      <c r="C102">
        <f>Sheet1!R102</f>
        <v>64</v>
      </c>
      <c r="D102">
        <f>Sheet1!H102</f>
        <v>0.62</v>
      </c>
      <c r="E102">
        <f>Sheet1!P102</f>
        <v>97</v>
      </c>
      <c r="F102">
        <f>Sheet1!I102</f>
        <v>837272</v>
      </c>
      <c r="G102" t="str">
        <f t="shared" si="1"/>
        <v>Manual Review</v>
      </c>
    </row>
    <row r="103" spans="1:7">
      <c r="A103" t="str">
        <f>Sheet1!A103</f>
        <v>C102</v>
      </c>
      <c r="B103" t="str">
        <f>Sheet1!B103</f>
        <v>Ramirez, Murray and Jennings</v>
      </c>
      <c r="C103">
        <f>Sheet1!R103</f>
        <v>74</v>
      </c>
      <c r="D103">
        <f>Sheet1!H103</f>
        <v>0.61</v>
      </c>
      <c r="E103">
        <f>Sheet1!P103</f>
        <v>97</v>
      </c>
      <c r="F103">
        <f>Sheet1!I103</f>
        <v>555694</v>
      </c>
      <c r="G103" t="str">
        <f t="shared" si="1"/>
        <v>Approved</v>
      </c>
    </row>
    <row r="104" spans="1:7">
      <c r="A104" t="str">
        <f>Sheet1!A104</f>
        <v>C103</v>
      </c>
      <c r="B104" t="str">
        <f>Sheet1!B104</f>
        <v>Ortiz Ltd</v>
      </c>
      <c r="C104">
        <f>Sheet1!R104</f>
        <v>70</v>
      </c>
      <c r="D104">
        <f>Sheet1!H104</f>
        <v>0.34</v>
      </c>
      <c r="E104">
        <f>Sheet1!P104</f>
        <v>90</v>
      </c>
      <c r="F104">
        <f>Sheet1!I104</f>
        <v>705343</v>
      </c>
      <c r="G104" t="str">
        <f t="shared" si="1"/>
        <v>Approved</v>
      </c>
    </row>
    <row r="105" spans="1:7">
      <c r="A105" t="str">
        <f>Sheet1!A105</f>
        <v>C104</v>
      </c>
      <c r="B105" t="str">
        <f>Sheet1!B105</f>
        <v>Gonzalez-Jordan</v>
      </c>
      <c r="C105">
        <f>Sheet1!R105</f>
        <v>83</v>
      </c>
      <c r="D105">
        <f>Sheet1!H105</f>
        <v>0.33</v>
      </c>
      <c r="E105">
        <f>Sheet1!P105</f>
        <v>90</v>
      </c>
      <c r="F105">
        <f>Sheet1!I105</f>
        <v>615340</v>
      </c>
      <c r="G105" t="str">
        <f t="shared" si="1"/>
        <v>Approved</v>
      </c>
    </row>
    <row r="106" spans="1:7">
      <c r="A106" t="str">
        <f>Sheet1!A106</f>
        <v>C105</v>
      </c>
      <c r="B106" t="str">
        <f>Sheet1!B106</f>
        <v>Reyes, Taylor and Ayala</v>
      </c>
      <c r="C106">
        <f>Sheet1!R106</f>
        <v>66</v>
      </c>
      <c r="D106">
        <f>Sheet1!H106</f>
        <v>0.97</v>
      </c>
      <c r="E106">
        <f>Sheet1!P106</f>
        <v>93</v>
      </c>
      <c r="F106">
        <f>Sheet1!I106</f>
        <v>339510</v>
      </c>
      <c r="G106" t="str">
        <f t="shared" si="1"/>
        <v>Manual Review</v>
      </c>
    </row>
    <row r="107" spans="1:7">
      <c r="A107" t="str">
        <f>Sheet1!A107</f>
        <v>C106</v>
      </c>
      <c r="B107" t="str">
        <f>Sheet1!B107</f>
        <v>Aguilar-Francis</v>
      </c>
      <c r="C107">
        <f>Sheet1!R107</f>
        <v>58</v>
      </c>
      <c r="D107">
        <f>Sheet1!H107</f>
        <v>0.24</v>
      </c>
      <c r="E107">
        <f>Sheet1!P107</f>
        <v>62</v>
      </c>
      <c r="F107">
        <f>Sheet1!I107</f>
        <v>-37887</v>
      </c>
      <c r="G107" t="str">
        <f t="shared" si="1"/>
        <v>Manual Review</v>
      </c>
    </row>
    <row r="108" spans="1:7">
      <c r="A108" t="str">
        <f>Sheet1!A108</f>
        <v>C107</v>
      </c>
      <c r="B108" t="str">
        <f>Sheet1!B108</f>
        <v>Martinez, Martinez and Wilcox</v>
      </c>
      <c r="C108">
        <f>Sheet1!R108</f>
        <v>60</v>
      </c>
      <c r="D108">
        <f>Sheet1!H108</f>
        <v>0.87</v>
      </c>
      <c r="E108">
        <f>Sheet1!P108</f>
        <v>81</v>
      </c>
      <c r="F108">
        <f>Sheet1!I108</f>
        <v>292526</v>
      </c>
      <c r="G108" t="str">
        <f t="shared" si="1"/>
        <v>Manual Review</v>
      </c>
    </row>
    <row r="109" spans="1:7">
      <c r="A109" t="str">
        <f>Sheet1!A109</f>
        <v>C108</v>
      </c>
      <c r="B109" t="str">
        <f>Sheet1!B109</f>
        <v>Alexander-Gardner</v>
      </c>
      <c r="C109">
        <f>Sheet1!R109</f>
        <v>74</v>
      </c>
      <c r="D109">
        <f>Sheet1!H109</f>
        <v>0.5</v>
      </c>
      <c r="E109">
        <f>Sheet1!P109</f>
        <v>89</v>
      </c>
      <c r="F109">
        <f>Sheet1!I109</f>
        <v>651758</v>
      </c>
      <c r="G109" t="str">
        <f t="shared" si="1"/>
        <v>Approved</v>
      </c>
    </row>
    <row r="110" spans="1:7">
      <c r="A110" t="str">
        <f>Sheet1!A110</f>
        <v>C109</v>
      </c>
      <c r="B110" t="str">
        <f>Sheet1!B110</f>
        <v>Taylor and Sons</v>
      </c>
      <c r="C110">
        <f>Sheet1!R110</f>
        <v>79</v>
      </c>
      <c r="D110">
        <f>Sheet1!H110</f>
        <v>0.42</v>
      </c>
      <c r="E110">
        <f>Sheet1!P110</f>
        <v>96</v>
      </c>
      <c r="F110">
        <f>Sheet1!I110</f>
        <v>831812</v>
      </c>
      <c r="G110" t="str">
        <f t="shared" si="1"/>
        <v>Approved</v>
      </c>
    </row>
    <row r="111" spans="1:7">
      <c r="A111" t="str">
        <f>Sheet1!A111</f>
        <v>C110</v>
      </c>
      <c r="B111" t="str">
        <f>Sheet1!B111</f>
        <v>Lane-Williams</v>
      </c>
      <c r="C111">
        <f>Sheet1!R111</f>
        <v>52</v>
      </c>
      <c r="D111">
        <f>Sheet1!H111</f>
        <v>1.1000000000000001</v>
      </c>
      <c r="E111">
        <f>Sheet1!P111</f>
        <v>94</v>
      </c>
      <c r="F111">
        <f>Sheet1!I111</f>
        <v>255883</v>
      </c>
      <c r="G111" t="str">
        <f t="shared" si="1"/>
        <v>Manual Review</v>
      </c>
    </row>
    <row r="112" spans="1:7">
      <c r="A112" t="str">
        <f>Sheet1!A112</f>
        <v>C111</v>
      </c>
      <c r="B112" t="str">
        <f>Sheet1!B112</f>
        <v>Walton Inc</v>
      </c>
      <c r="C112">
        <f>Sheet1!R112</f>
        <v>70</v>
      </c>
      <c r="D112">
        <f>Sheet1!H112</f>
        <v>0.47</v>
      </c>
      <c r="E112">
        <f>Sheet1!P112</f>
        <v>79</v>
      </c>
      <c r="F112">
        <f>Sheet1!I112</f>
        <v>561377</v>
      </c>
      <c r="G112" t="str">
        <f t="shared" si="1"/>
        <v>Approved</v>
      </c>
    </row>
    <row r="113" spans="1:7">
      <c r="A113" t="str">
        <f>Sheet1!A113</f>
        <v>C112</v>
      </c>
      <c r="B113" t="str">
        <f>Sheet1!B113</f>
        <v>Perry LLC</v>
      </c>
      <c r="C113">
        <f>Sheet1!R113</f>
        <v>70</v>
      </c>
      <c r="D113">
        <f>Sheet1!H113</f>
        <v>0.3</v>
      </c>
      <c r="E113">
        <f>Sheet1!P113</f>
        <v>79</v>
      </c>
      <c r="F113">
        <f>Sheet1!I113</f>
        <v>722996</v>
      </c>
      <c r="G113" t="str">
        <f t="shared" si="1"/>
        <v>Approved</v>
      </c>
    </row>
    <row r="114" spans="1:7">
      <c r="A114" t="str">
        <f>Sheet1!A114</f>
        <v>C113</v>
      </c>
      <c r="B114" t="str">
        <f>Sheet1!B114</f>
        <v>Reeves Group</v>
      </c>
      <c r="C114">
        <f>Sheet1!R114</f>
        <v>52</v>
      </c>
      <c r="D114">
        <f>Sheet1!H114</f>
        <v>0.9</v>
      </c>
      <c r="E114">
        <f>Sheet1!P114</f>
        <v>60</v>
      </c>
      <c r="F114">
        <f>Sheet1!I114</f>
        <v>791734</v>
      </c>
      <c r="G114" t="str">
        <f t="shared" si="1"/>
        <v>Manual Review</v>
      </c>
    </row>
    <row r="115" spans="1:7">
      <c r="A115" t="str">
        <f>Sheet1!A115</f>
        <v>C114</v>
      </c>
      <c r="B115" t="str">
        <f>Sheet1!B115</f>
        <v>Mcdonald PLC</v>
      </c>
      <c r="C115">
        <f>Sheet1!R115</f>
        <v>60</v>
      </c>
      <c r="D115">
        <f>Sheet1!H115</f>
        <v>0.61</v>
      </c>
      <c r="E115">
        <f>Sheet1!P115</f>
        <v>95</v>
      </c>
      <c r="F115">
        <f>Sheet1!I115</f>
        <v>106176</v>
      </c>
      <c r="G115" t="str">
        <f t="shared" si="1"/>
        <v>Manual Review</v>
      </c>
    </row>
    <row r="116" spans="1:7">
      <c r="A116" t="str">
        <f>Sheet1!A116</f>
        <v>C115</v>
      </c>
      <c r="B116" t="str">
        <f>Sheet1!B116</f>
        <v>Robinson-Bowman</v>
      </c>
      <c r="C116">
        <f>Sheet1!R116</f>
        <v>55</v>
      </c>
      <c r="D116">
        <f>Sheet1!H116</f>
        <v>0.9</v>
      </c>
      <c r="E116">
        <f>Sheet1!P116</f>
        <v>62</v>
      </c>
      <c r="F116">
        <f>Sheet1!I116</f>
        <v>234188</v>
      </c>
      <c r="G116" t="str">
        <f t="shared" si="1"/>
        <v>Manual Review</v>
      </c>
    </row>
    <row r="117" spans="1:7">
      <c r="A117" t="str">
        <f>Sheet1!A117</f>
        <v>C116</v>
      </c>
      <c r="B117" t="str">
        <f>Sheet1!B117</f>
        <v>Price, Johnson and Martinez</v>
      </c>
      <c r="C117">
        <f>Sheet1!R117</f>
        <v>53</v>
      </c>
      <c r="D117">
        <f>Sheet1!H117</f>
        <v>1.1299999999999999</v>
      </c>
      <c r="E117">
        <f>Sheet1!P117</f>
        <v>74</v>
      </c>
      <c r="F117">
        <f>Sheet1!I117</f>
        <v>850203</v>
      </c>
      <c r="G117" t="str">
        <f t="shared" si="1"/>
        <v>Manual Review</v>
      </c>
    </row>
    <row r="118" spans="1:7">
      <c r="A118" t="str">
        <f>Sheet1!A118</f>
        <v>C117</v>
      </c>
      <c r="B118" t="str">
        <f>Sheet1!B118</f>
        <v>Jones-Martinez</v>
      </c>
      <c r="C118">
        <f>Sheet1!R118</f>
        <v>53</v>
      </c>
      <c r="D118">
        <f>Sheet1!H118</f>
        <v>1.0900000000000001</v>
      </c>
      <c r="E118">
        <f>Sheet1!P118</f>
        <v>88</v>
      </c>
      <c r="F118">
        <f>Sheet1!I118</f>
        <v>255083</v>
      </c>
      <c r="G118" t="str">
        <f t="shared" si="1"/>
        <v>Manual Review</v>
      </c>
    </row>
    <row r="119" spans="1:7">
      <c r="A119" t="str">
        <f>Sheet1!A119</f>
        <v>C118</v>
      </c>
      <c r="B119" t="str">
        <f>Sheet1!B119</f>
        <v>Douglas and Sons</v>
      </c>
      <c r="C119">
        <f>Sheet1!R119</f>
        <v>49</v>
      </c>
      <c r="D119">
        <f>Sheet1!H119</f>
        <v>0.75</v>
      </c>
      <c r="E119">
        <f>Sheet1!P119</f>
        <v>69</v>
      </c>
      <c r="F119">
        <f>Sheet1!I119</f>
        <v>862013</v>
      </c>
      <c r="G119" t="str">
        <f t="shared" si="1"/>
        <v>Rejected</v>
      </c>
    </row>
    <row r="120" spans="1:7">
      <c r="A120" t="str">
        <f>Sheet1!A120</f>
        <v>C119</v>
      </c>
      <c r="B120" t="str">
        <f>Sheet1!B120</f>
        <v>White and Sons</v>
      </c>
      <c r="C120">
        <f>Sheet1!R120</f>
        <v>79</v>
      </c>
      <c r="D120">
        <f>Sheet1!H120</f>
        <v>0.12</v>
      </c>
      <c r="E120">
        <f>Sheet1!P120</f>
        <v>86</v>
      </c>
      <c r="F120">
        <f>Sheet1!I120</f>
        <v>527914</v>
      </c>
      <c r="G120" t="str">
        <f t="shared" si="1"/>
        <v>Approved</v>
      </c>
    </row>
    <row r="121" spans="1:7">
      <c r="A121" t="str">
        <f>Sheet1!A121</f>
        <v>C120</v>
      </c>
      <c r="B121" t="str">
        <f>Sheet1!B121</f>
        <v>Glenn-Cordova</v>
      </c>
      <c r="C121">
        <f>Sheet1!R121</f>
        <v>63</v>
      </c>
      <c r="D121">
        <f>Sheet1!H121</f>
        <v>0.11</v>
      </c>
      <c r="E121">
        <f>Sheet1!P121</f>
        <v>76</v>
      </c>
      <c r="F121">
        <f>Sheet1!I121</f>
        <v>545677</v>
      </c>
      <c r="G121" t="str">
        <f t="shared" si="1"/>
        <v>Manual Review</v>
      </c>
    </row>
    <row r="122" spans="1:7">
      <c r="A122" t="str">
        <f>Sheet1!A122</f>
        <v>C121</v>
      </c>
      <c r="B122" t="str">
        <f>Sheet1!B122</f>
        <v>Molina-Franklin</v>
      </c>
      <c r="C122">
        <f>Sheet1!R122</f>
        <v>64</v>
      </c>
      <c r="D122">
        <f>Sheet1!H122</f>
        <v>0.31</v>
      </c>
      <c r="E122">
        <f>Sheet1!P122</f>
        <v>74</v>
      </c>
      <c r="F122">
        <f>Sheet1!I122</f>
        <v>301030</v>
      </c>
      <c r="G122" t="str">
        <f t="shared" si="1"/>
        <v>Manual Review</v>
      </c>
    </row>
    <row r="123" spans="1:7">
      <c r="A123" t="str">
        <f>Sheet1!A123</f>
        <v>C122</v>
      </c>
      <c r="B123" t="str">
        <f>Sheet1!B123</f>
        <v>Williams-Hernandez</v>
      </c>
      <c r="C123">
        <f>Sheet1!R123</f>
        <v>68</v>
      </c>
      <c r="D123">
        <f>Sheet1!H123</f>
        <v>0.12</v>
      </c>
      <c r="E123">
        <f>Sheet1!P123</f>
        <v>65</v>
      </c>
      <c r="F123">
        <f>Sheet1!I123</f>
        <v>700845</v>
      </c>
      <c r="G123" t="str">
        <f t="shared" si="1"/>
        <v>Manual Review</v>
      </c>
    </row>
    <row r="124" spans="1:7">
      <c r="A124" t="str">
        <f>Sheet1!A124</f>
        <v>C123</v>
      </c>
      <c r="B124" t="str">
        <f>Sheet1!B124</f>
        <v>Vaughn, Atkinson and Perez</v>
      </c>
      <c r="C124">
        <f>Sheet1!R124</f>
        <v>74</v>
      </c>
      <c r="D124">
        <f>Sheet1!H124</f>
        <v>0.57999999999999996</v>
      </c>
      <c r="E124">
        <f>Sheet1!P124</f>
        <v>92</v>
      </c>
      <c r="F124">
        <f>Sheet1!I124</f>
        <v>211970</v>
      </c>
      <c r="G124" t="str">
        <f t="shared" si="1"/>
        <v>Approved</v>
      </c>
    </row>
    <row r="125" spans="1:7">
      <c r="A125" t="str">
        <f>Sheet1!A125</f>
        <v>C124</v>
      </c>
      <c r="B125" t="str">
        <f>Sheet1!B125</f>
        <v>Brooks-Stanley</v>
      </c>
      <c r="C125">
        <f>Sheet1!R125</f>
        <v>83</v>
      </c>
      <c r="D125">
        <f>Sheet1!H125</f>
        <v>0.11</v>
      </c>
      <c r="E125">
        <f>Sheet1!P125</f>
        <v>88</v>
      </c>
      <c r="F125">
        <f>Sheet1!I125</f>
        <v>996916</v>
      </c>
      <c r="G125" t="str">
        <f t="shared" si="1"/>
        <v>Approved</v>
      </c>
    </row>
    <row r="126" spans="1:7">
      <c r="A126" t="str">
        <f>Sheet1!A126</f>
        <v>C125</v>
      </c>
      <c r="B126" t="str">
        <f>Sheet1!B126</f>
        <v>Perez-Campos</v>
      </c>
      <c r="C126">
        <f>Sheet1!R126</f>
        <v>59</v>
      </c>
      <c r="D126">
        <f>Sheet1!H126</f>
        <v>0.75</v>
      </c>
      <c r="E126">
        <f>Sheet1!P126</f>
        <v>72</v>
      </c>
      <c r="F126">
        <f>Sheet1!I126</f>
        <v>873492</v>
      </c>
      <c r="G126" t="str">
        <f t="shared" si="1"/>
        <v>Manual Review</v>
      </c>
    </row>
    <row r="127" spans="1:7">
      <c r="A127" t="str">
        <f>Sheet1!A127</f>
        <v>C126</v>
      </c>
      <c r="B127" t="str">
        <f>Sheet1!B127</f>
        <v>Malone Group</v>
      </c>
      <c r="C127">
        <f>Sheet1!R127</f>
        <v>65</v>
      </c>
      <c r="D127">
        <f>Sheet1!H127</f>
        <v>0.74</v>
      </c>
      <c r="E127">
        <f>Sheet1!P127</f>
        <v>83</v>
      </c>
      <c r="F127">
        <f>Sheet1!I127</f>
        <v>790367</v>
      </c>
      <c r="G127" t="str">
        <f t="shared" si="1"/>
        <v>Manual Review</v>
      </c>
    </row>
    <row r="128" spans="1:7">
      <c r="A128" t="str">
        <f>Sheet1!A128</f>
        <v>C127</v>
      </c>
      <c r="B128" t="str">
        <f>Sheet1!B128</f>
        <v>Warren Inc</v>
      </c>
      <c r="C128">
        <f>Sheet1!R128</f>
        <v>62</v>
      </c>
      <c r="D128">
        <f>Sheet1!H128</f>
        <v>0.23</v>
      </c>
      <c r="E128">
        <f>Sheet1!P128</f>
        <v>66</v>
      </c>
      <c r="F128">
        <f>Sheet1!I128</f>
        <v>-12007</v>
      </c>
      <c r="G128" t="str">
        <f t="shared" si="1"/>
        <v>Manual Review</v>
      </c>
    </row>
    <row r="129" spans="1:7">
      <c r="A129" t="str">
        <f>Sheet1!A129</f>
        <v>C128</v>
      </c>
      <c r="B129" t="str">
        <f>Sheet1!B129</f>
        <v>May, Peters and Jones</v>
      </c>
      <c r="C129">
        <f>Sheet1!R129</f>
        <v>63</v>
      </c>
      <c r="D129">
        <f>Sheet1!H129</f>
        <v>0.49</v>
      </c>
      <c r="E129">
        <f>Sheet1!P129</f>
        <v>72</v>
      </c>
      <c r="F129">
        <f>Sheet1!I129</f>
        <v>63289</v>
      </c>
      <c r="G129" t="str">
        <f t="shared" si="1"/>
        <v>Manual Review</v>
      </c>
    </row>
    <row r="130" spans="1:7">
      <c r="A130" t="str">
        <f>Sheet1!A130</f>
        <v>C129</v>
      </c>
      <c r="B130" t="str">
        <f>Sheet1!B130</f>
        <v>Wells Group</v>
      </c>
      <c r="C130">
        <f>Sheet1!R130</f>
        <v>60</v>
      </c>
      <c r="D130">
        <f>Sheet1!H130</f>
        <v>0.67</v>
      </c>
      <c r="E130">
        <f>Sheet1!P130</f>
        <v>74</v>
      </c>
      <c r="F130">
        <f>Sheet1!I130</f>
        <v>213333</v>
      </c>
      <c r="G130" t="str">
        <f t="shared" ref="G130:G193" si="2">IF(AND(C130&gt;=70,D130&lt;=1,E130&gt;=60),"Approved",IF(OR(C130&lt;50,D130&gt;2),"Rejected","Manual Review"))</f>
        <v>Manual Review</v>
      </c>
    </row>
    <row r="131" spans="1:7">
      <c r="A131" t="str">
        <f>Sheet1!A131</f>
        <v>C130</v>
      </c>
      <c r="B131" t="str">
        <f>Sheet1!B131</f>
        <v>Carter LLC</v>
      </c>
      <c r="C131">
        <f>Sheet1!R131</f>
        <v>58</v>
      </c>
      <c r="D131">
        <f>Sheet1!H131</f>
        <v>0.3</v>
      </c>
      <c r="E131">
        <f>Sheet1!P131</f>
        <v>69</v>
      </c>
      <c r="F131">
        <f>Sheet1!I131</f>
        <v>291826</v>
      </c>
      <c r="G131" t="str">
        <f t="shared" si="2"/>
        <v>Manual Review</v>
      </c>
    </row>
    <row r="132" spans="1:7">
      <c r="A132" t="str">
        <f>Sheet1!A132</f>
        <v>C131</v>
      </c>
      <c r="B132" t="str">
        <f>Sheet1!B132</f>
        <v>Hanna Inc</v>
      </c>
      <c r="C132">
        <f>Sheet1!R132</f>
        <v>66</v>
      </c>
      <c r="D132">
        <f>Sheet1!H132</f>
        <v>1.1499999999999999</v>
      </c>
      <c r="E132">
        <f>Sheet1!P132</f>
        <v>94</v>
      </c>
      <c r="F132">
        <f>Sheet1!I132</f>
        <v>109583</v>
      </c>
      <c r="G132" t="str">
        <f t="shared" si="2"/>
        <v>Manual Review</v>
      </c>
    </row>
    <row r="133" spans="1:7">
      <c r="A133" t="str">
        <f>Sheet1!A133</f>
        <v>C132</v>
      </c>
      <c r="B133" t="str">
        <f>Sheet1!B133</f>
        <v>Cervantes-Williams</v>
      </c>
      <c r="C133">
        <f>Sheet1!R133</f>
        <v>71</v>
      </c>
      <c r="D133">
        <f>Sheet1!H133</f>
        <v>0.51</v>
      </c>
      <c r="E133">
        <f>Sheet1!P133</f>
        <v>96</v>
      </c>
      <c r="F133">
        <f>Sheet1!I133</f>
        <v>631043</v>
      </c>
      <c r="G133" t="str">
        <f t="shared" si="2"/>
        <v>Approved</v>
      </c>
    </row>
    <row r="134" spans="1:7">
      <c r="A134" t="str">
        <f>Sheet1!A134</f>
        <v>C133</v>
      </c>
      <c r="B134" t="str">
        <f>Sheet1!B134</f>
        <v>Collins-Beck</v>
      </c>
      <c r="C134">
        <f>Sheet1!R134</f>
        <v>75</v>
      </c>
      <c r="D134">
        <f>Sheet1!H134</f>
        <v>0.24</v>
      </c>
      <c r="E134">
        <f>Sheet1!P134</f>
        <v>90</v>
      </c>
      <c r="F134">
        <f>Sheet1!I134</f>
        <v>549504</v>
      </c>
      <c r="G134" t="str">
        <f t="shared" si="2"/>
        <v>Approved</v>
      </c>
    </row>
    <row r="135" spans="1:7">
      <c r="A135" t="str">
        <f>Sheet1!A135</f>
        <v>C134</v>
      </c>
      <c r="B135" t="str">
        <f>Sheet1!B135</f>
        <v>Jones-Potter</v>
      </c>
      <c r="C135">
        <f>Sheet1!R135</f>
        <v>64</v>
      </c>
      <c r="D135">
        <f>Sheet1!H135</f>
        <v>0.52</v>
      </c>
      <c r="E135">
        <f>Sheet1!P135</f>
        <v>96</v>
      </c>
      <c r="F135">
        <f>Sheet1!I135</f>
        <v>384856</v>
      </c>
      <c r="G135" t="str">
        <f t="shared" si="2"/>
        <v>Manual Review</v>
      </c>
    </row>
    <row r="136" spans="1:7">
      <c r="A136" t="str">
        <f>Sheet1!A136</f>
        <v>C135</v>
      </c>
      <c r="B136" t="str">
        <f>Sheet1!B136</f>
        <v>Anderson, Reilly and Velasquez</v>
      </c>
      <c r="C136">
        <f>Sheet1!R136</f>
        <v>67</v>
      </c>
      <c r="D136">
        <f>Sheet1!H136</f>
        <v>0.49</v>
      </c>
      <c r="E136">
        <f>Sheet1!P136</f>
        <v>84</v>
      </c>
      <c r="F136">
        <f>Sheet1!I136</f>
        <v>205414</v>
      </c>
      <c r="G136" t="str">
        <f t="shared" si="2"/>
        <v>Manual Review</v>
      </c>
    </row>
    <row r="137" spans="1:7">
      <c r="A137" t="str">
        <f>Sheet1!A137</f>
        <v>C136</v>
      </c>
      <c r="B137" t="str">
        <f>Sheet1!B137</f>
        <v>Fitzpatrick, Ramirez and Mayer</v>
      </c>
      <c r="C137">
        <f>Sheet1!R137</f>
        <v>47</v>
      </c>
      <c r="D137">
        <f>Sheet1!H137</f>
        <v>1.19</v>
      </c>
      <c r="E137">
        <f>Sheet1!P137</f>
        <v>84</v>
      </c>
      <c r="F137">
        <f>Sheet1!I137</f>
        <v>86156</v>
      </c>
      <c r="G137" t="str">
        <f t="shared" si="2"/>
        <v>Rejected</v>
      </c>
    </row>
    <row r="138" spans="1:7">
      <c r="A138" t="str">
        <f>Sheet1!A138</f>
        <v>C137</v>
      </c>
      <c r="B138" t="str">
        <f>Sheet1!B138</f>
        <v>Brown Inc</v>
      </c>
      <c r="C138">
        <f>Sheet1!R138</f>
        <v>59</v>
      </c>
      <c r="D138">
        <f>Sheet1!H138</f>
        <v>0.11</v>
      </c>
      <c r="E138">
        <f>Sheet1!P138</f>
        <v>61</v>
      </c>
      <c r="F138">
        <f>Sheet1!I138</f>
        <v>549729</v>
      </c>
      <c r="G138" t="str">
        <f t="shared" si="2"/>
        <v>Manual Review</v>
      </c>
    </row>
    <row r="139" spans="1:7">
      <c r="A139" t="str">
        <f>Sheet1!A139</f>
        <v>C138</v>
      </c>
      <c r="B139" t="str">
        <f>Sheet1!B139</f>
        <v>Reynolds-Peters</v>
      </c>
      <c r="C139">
        <f>Sheet1!R139</f>
        <v>52</v>
      </c>
      <c r="D139">
        <f>Sheet1!H139</f>
        <v>0.8</v>
      </c>
      <c r="E139">
        <f>Sheet1!P139</f>
        <v>68</v>
      </c>
      <c r="F139">
        <f>Sheet1!I139</f>
        <v>166702</v>
      </c>
      <c r="G139" t="str">
        <f t="shared" si="2"/>
        <v>Manual Review</v>
      </c>
    </row>
    <row r="140" spans="1:7">
      <c r="A140" t="str">
        <f>Sheet1!A140</f>
        <v>C139</v>
      </c>
      <c r="B140" t="str">
        <f>Sheet1!B140</f>
        <v>Washington, Parker and Cox</v>
      </c>
      <c r="C140">
        <f>Sheet1!R140</f>
        <v>47</v>
      </c>
      <c r="D140">
        <f>Sheet1!H140</f>
        <v>0.86</v>
      </c>
      <c r="E140">
        <f>Sheet1!P140</f>
        <v>68</v>
      </c>
      <c r="F140">
        <f>Sheet1!I140</f>
        <v>587570</v>
      </c>
      <c r="G140" t="str">
        <f t="shared" si="2"/>
        <v>Rejected</v>
      </c>
    </row>
    <row r="141" spans="1:7">
      <c r="A141" t="str">
        <f>Sheet1!A141</f>
        <v>C140</v>
      </c>
      <c r="B141" t="str">
        <f>Sheet1!B141</f>
        <v>Sanchez, Brown and Craig</v>
      </c>
      <c r="C141">
        <f>Sheet1!R141</f>
        <v>60</v>
      </c>
      <c r="D141">
        <f>Sheet1!H141</f>
        <v>0.28999999999999998</v>
      </c>
      <c r="E141">
        <f>Sheet1!P141</f>
        <v>67</v>
      </c>
      <c r="F141">
        <f>Sheet1!I141</f>
        <v>685719</v>
      </c>
      <c r="G141" t="str">
        <f t="shared" si="2"/>
        <v>Manual Review</v>
      </c>
    </row>
    <row r="142" spans="1:7">
      <c r="A142" t="str">
        <f>Sheet1!A142</f>
        <v>C141</v>
      </c>
      <c r="B142" t="str">
        <f>Sheet1!B142</f>
        <v>Ashley, Faulkner and Castaneda</v>
      </c>
      <c r="C142">
        <f>Sheet1!R142</f>
        <v>63</v>
      </c>
      <c r="D142">
        <f>Sheet1!H142</f>
        <v>0.38</v>
      </c>
      <c r="E142">
        <f>Sheet1!P142</f>
        <v>64</v>
      </c>
      <c r="F142">
        <f>Sheet1!I142</f>
        <v>-93069</v>
      </c>
      <c r="G142" t="str">
        <f t="shared" si="2"/>
        <v>Manual Review</v>
      </c>
    </row>
    <row r="143" spans="1:7">
      <c r="A143" t="str">
        <f>Sheet1!A143</f>
        <v>C142</v>
      </c>
      <c r="B143" t="str">
        <f>Sheet1!B143</f>
        <v>Francis-Reynolds</v>
      </c>
      <c r="C143">
        <f>Sheet1!R143</f>
        <v>63</v>
      </c>
      <c r="D143">
        <f>Sheet1!H143</f>
        <v>0.92</v>
      </c>
      <c r="E143">
        <f>Sheet1!P143</f>
        <v>100</v>
      </c>
      <c r="F143">
        <f>Sheet1!I143</f>
        <v>930146</v>
      </c>
      <c r="G143" t="str">
        <f t="shared" si="2"/>
        <v>Manual Review</v>
      </c>
    </row>
    <row r="144" spans="1:7">
      <c r="A144" t="str">
        <f>Sheet1!A144</f>
        <v>C143</v>
      </c>
      <c r="B144" t="str">
        <f>Sheet1!B144</f>
        <v>Rogers, George and Matthews</v>
      </c>
      <c r="C144">
        <f>Sheet1!R144</f>
        <v>43</v>
      </c>
      <c r="D144">
        <f>Sheet1!H144</f>
        <v>1</v>
      </c>
      <c r="E144">
        <f>Sheet1!P144</f>
        <v>60</v>
      </c>
      <c r="F144">
        <f>Sheet1!I144</f>
        <v>427641</v>
      </c>
      <c r="G144" t="str">
        <f t="shared" si="2"/>
        <v>Rejected</v>
      </c>
    </row>
    <row r="145" spans="1:7">
      <c r="A145" t="str">
        <f>Sheet1!A145</f>
        <v>C144</v>
      </c>
      <c r="B145" t="str">
        <f>Sheet1!B145</f>
        <v>Howard, Callahan and Johnson</v>
      </c>
      <c r="C145">
        <f>Sheet1!R145</f>
        <v>70</v>
      </c>
      <c r="D145">
        <f>Sheet1!H145</f>
        <v>0.69</v>
      </c>
      <c r="E145">
        <f>Sheet1!P145</f>
        <v>74</v>
      </c>
      <c r="F145">
        <f>Sheet1!I145</f>
        <v>950104</v>
      </c>
      <c r="G145" t="str">
        <f t="shared" si="2"/>
        <v>Approved</v>
      </c>
    </row>
    <row r="146" spans="1:7">
      <c r="A146" t="str">
        <f>Sheet1!A146</f>
        <v>C145</v>
      </c>
      <c r="B146" t="str">
        <f>Sheet1!B146</f>
        <v>Harrison-Gonzalez</v>
      </c>
      <c r="C146">
        <f>Sheet1!R146</f>
        <v>46</v>
      </c>
      <c r="D146">
        <f>Sheet1!H146</f>
        <v>0.82</v>
      </c>
      <c r="E146">
        <f>Sheet1!P146</f>
        <v>63</v>
      </c>
      <c r="F146">
        <f>Sheet1!I146</f>
        <v>962858</v>
      </c>
      <c r="G146" t="str">
        <f t="shared" si="2"/>
        <v>Rejected</v>
      </c>
    </row>
    <row r="147" spans="1:7">
      <c r="A147" t="str">
        <f>Sheet1!A147</f>
        <v>C146</v>
      </c>
      <c r="B147" t="str">
        <f>Sheet1!B147</f>
        <v>Sherman, Richard and Maynard</v>
      </c>
      <c r="C147">
        <f>Sheet1!R147</f>
        <v>50</v>
      </c>
      <c r="D147">
        <f>Sheet1!H147</f>
        <v>1.0900000000000001</v>
      </c>
      <c r="E147">
        <f>Sheet1!P147</f>
        <v>97</v>
      </c>
      <c r="F147">
        <f>Sheet1!I147</f>
        <v>283412</v>
      </c>
      <c r="G147" t="str">
        <f t="shared" si="2"/>
        <v>Manual Review</v>
      </c>
    </row>
    <row r="148" spans="1:7">
      <c r="A148" t="str">
        <f>Sheet1!A148</f>
        <v>C147</v>
      </c>
      <c r="B148" t="str">
        <f>Sheet1!B148</f>
        <v>House-Green</v>
      </c>
      <c r="C148">
        <f>Sheet1!R148</f>
        <v>66</v>
      </c>
      <c r="D148">
        <f>Sheet1!H148</f>
        <v>1.01</v>
      </c>
      <c r="E148">
        <f>Sheet1!P148</f>
        <v>99</v>
      </c>
      <c r="F148">
        <f>Sheet1!I148</f>
        <v>442241</v>
      </c>
      <c r="G148" t="str">
        <f t="shared" si="2"/>
        <v>Manual Review</v>
      </c>
    </row>
    <row r="149" spans="1:7">
      <c r="A149" t="str">
        <f>Sheet1!A149</f>
        <v>C148</v>
      </c>
      <c r="B149" t="str">
        <f>Sheet1!B149</f>
        <v>Holland, Smith and Sanders</v>
      </c>
      <c r="C149">
        <f>Sheet1!R149</f>
        <v>71</v>
      </c>
      <c r="D149">
        <f>Sheet1!H149</f>
        <v>0.22</v>
      </c>
      <c r="E149">
        <f>Sheet1!P149</f>
        <v>90</v>
      </c>
      <c r="F149">
        <f>Sheet1!I149</f>
        <v>819069</v>
      </c>
      <c r="G149" t="str">
        <f t="shared" si="2"/>
        <v>Approved</v>
      </c>
    </row>
    <row r="150" spans="1:7">
      <c r="A150" t="str">
        <f>Sheet1!A150</f>
        <v>C149</v>
      </c>
      <c r="B150" t="str">
        <f>Sheet1!B150</f>
        <v>Petersen-Brown</v>
      </c>
      <c r="C150">
        <f>Sheet1!R150</f>
        <v>64</v>
      </c>
      <c r="D150">
        <f>Sheet1!H150</f>
        <v>0.15</v>
      </c>
      <c r="E150">
        <f>Sheet1!P150</f>
        <v>69</v>
      </c>
      <c r="F150">
        <f>Sheet1!I150</f>
        <v>653626</v>
      </c>
      <c r="G150" t="str">
        <f t="shared" si="2"/>
        <v>Manual Review</v>
      </c>
    </row>
    <row r="151" spans="1:7">
      <c r="A151" t="str">
        <f>Sheet1!A151</f>
        <v>C150</v>
      </c>
      <c r="B151" t="str">
        <f>Sheet1!B151</f>
        <v>Bishop LLC</v>
      </c>
      <c r="C151">
        <f>Sheet1!R151</f>
        <v>66</v>
      </c>
      <c r="D151">
        <f>Sheet1!H151</f>
        <v>0.98</v>
      </c>
      <c r="E151">
        <f>Sheet1!P151</f>
        <v>88</v>
      </c>
      <c r="F151">
        <f>Sheet1!I151</f>
        <v>838779</v>
      </c>
      <c r="G151" t="str">
        <f t="shared" si="2"/>
        <v>Manual Review</v>
      </c>
    </row>
    <row r="152" spans="1:7">
      <c r="A152" t="str">
        <f>Sheet1!A152</f>
        <v>C151</v>
      </c>
      <c r="B152" t="str">
        <f>Sheet1!B152</f>
        <v>Jensen-Rocha</v>
      </c>
      <c r="C152">
        <f>Sheet1!R152</f>
        <v>63</v>
      </c>
      <c r="D152">
        <f>Sheet1!H152</f>
        <v>0.23</v>
      </c>
      <c r="E152">
        <f>Sheet1!P152</f>
        <v>64</v>
      </c>
      <c r="F152">
        <f>Sheet1!I152</f>
        <v>970015</v>
      </c>
      <c r="G152" t="str">
        <f t="shared" si="2"/>
        <v>Manual Review</v>
      </c>
    </row>
    <row r="153" spans="1:7">
      <c r="A153" t="str">
        <f>Sheet1!A153</f>
        <v>C152</v>
      </c>
      <c r="B153" t="str">
        <f>Sheet1!B153</f>
        <v>Mccarty, Underwood and Nash</v>
      </c>
      <c r="C153">
        <f>Sheet1!R153</f>
        <v>44</v>
      </c>
      <c r="D153">
        <f>Sheet1!H153</f>
        <v>1</v>
      </c>
      <c r="E153">
        <f>Sheet1!P153</f>
        <v>67</v>
      </c>
      <c r="F153">
        <f>Sheet1!I153</f>
        <v>193780</v>
      </c>
      <c r="G153" t="str">
        <f t="shared" si="2"/>
        <v>Rejected</v>
      </c>
    </row>
    <row r="154" spans="1:7">
      <c r="A154" t="str">
        <f>Sheet1!A154</f>
        <v>C153</v>
      </c>
      <c r="B154" t="str">
        <f>Sheet1!B154</f>
        <v>Martin, Love and Nelson</v>
      </c>
      <c r="C154">
        <f>Sheet1!R154</f>
        <v>74</v>
      </c>
      <c r="D154">
        <f>Sheet1!H154</f>
        <v>0.32</v>
      </c>
      <c r="E154">
        <f>Sheet1!P154</f>
        <v>87</v>
      </c>
      <c r="F154">
        <f>Sheet1!I154</f>
        <v>482117</v>
      </c>
      <c r="G154" t="str">
        <f t="shared" si="2"/>
        <v>Approved</v>
      </c>
    </row>
    <row r="155" spans="1:7">
      <c r="A155" t="str">
        <f>Sheet1!A155</f>
        <v>C154</v>
      </c>
      <c r="B155" t="str">
        <f>Sheet1!B155</f>
        <v>Ray, Anderson and Smith</v>
      </c>
      <c r="C155">
        <f>Sheet1!R155</f>
        <v>57</v>
      </c>
      <c r="D155">
        <f>Sheet1!H155</f>
        <v>0.98</v>
      </c>
      <c r="E155">
        <f>Sheet1!P155</f>
        <v>90</v>
      </c>
      <c r="F155">
        <f>Sheet1!I155</f>
        <v>59384</v>
      </c>
      <c r="G155" t="str">
        <f t="shared" si="2"/>
        <v>Manual Review</v>
      </c>
    </row>
    <row r="156" spans="1:7">
      <c r="A156" t="str">
        <f>Sheet1!A156</f>
        <v>C155</v>
      </c>
      <c r="B156" t="str">
        <f>Sheet1!B156</f>
        <v>Morris Ltd</v>
      </c>
      <c r="C156">
        <f>Sheet1!R156</f>
        <v>57</v>
      </c>
      <c r="D156">
        <f>Sheet1!H156</f>
        <v>0.94</v>
      </c>
      <c r="E156">
        <f>Sheet1!P156</f>
        <v>68</v>
      </c>
      <c r="F156">
        <f>Sheet1!I156</f>
        <v>630375</v>
      </c>
      <c r="G156" t="str">
        <f t="shared" si="2"/>
        <v>Manual Review</v>
      </c>
    </row>
    <row r="157" spans="1:7">
      <c r="A157" t="str">
        <f>Sheet1!A157</f>
        <v>C156</v>
      </c>
      <c r="B157" t="str">
        <f>Sheet1!B157</f>
        <v>Adams PLC</v>
      </c>
      <c r="C157">
        <f>Sheet1!R157</f>
        <v>72</v>
      </c>
      <c r="D157">
        <f>Sheet1!H157</f>
        <v>0.42</v>
      </c>
      <c r="E157">
        <f>Sheet1!P157</f>
        <v>65</v>
      </c>
      <c r="F157">
        <f>Sheet1!I157</f>
        <v>710413</v>
      </c>
      <c r="G157" t="str">
        <f t="shared" si="2"/>
        <v>Approved</v>
      </c>
    </row>
    <row r="158" spans="1:7">
      <c r="A158" t="str">
        <f>Sheet1!A158</f>
        <v>C157</v>
      </c>
      <c r="B158" t="str">
        <f>Sheet1!B158</f>
        <v>Wilkins, Walsh and Paul</v>
      </c>
      <c r="C158">
        <f>Sheet1!R158</f>
        <v>66</v>
      </c>
      <c r="D158">
        <f>Sheet1!H158</f>
        <v>0.9</v>
      </c>
      <c r="E158">
        <f>Sheet1!P158</f>
        <v>76</v>
      </c>
      <c r="F158">
        <f>Sheet1!I158</f>
        <v>24133</v>
      </c>
      <c r="G158" t="str">
        <f t="shared" si="2"/>
        <v>Manual Review</v>
      </c>
    </row>
    <row r="159" spans="1:7">
      <c r="A159" t="str">
        <f>Sheet1!A159</f>
        <v>C158</v>
      </c>
      <c r="B159" t="str">
        <f>Sheet1!B159</f>
        <v>Cook-Bennett</v>
      </c>
      <c r="C159">
        <f>Sheet1!R159</f>
        <v>48</v>
      </c>
      <c r="D159">
        <f>Sheet1!H159</f>
        <v>0.96</v>
      </c>
      <c r="E159">
        <f>Sheet1!P159</f>
        <v>69</v>
      </c>
      <c r="F159">
        <f>Sheet1!I159</f>
        <v>585295</v>
      </c>
      <c r="G159" t="str">
        <f t="shared" si="2"/>
        <v>Rejected</v>
      </c>
    </row>
    <row r="160" spans="1:7">
      <c r="A160" t="str">
        <f>Sheet1!A160</f>
        <v>C159</v>
      </c>
      <c r="B160" t="str">
        <f>Sheet1!B160</f>
        <v>Ruiz Inc</v>
      </c>
      <c r="C160">
        <f>Sheet1!R160</f>
        <v>70</v>
      </c>
      <c r="D160">
        <f>Sheet1!H160</f>
        <v>0.77</v>
      </c>
      <c r="E160">
        <f>Sheet1!P160</f>
        <v>92</v>
      </c>
      <c r="F160">
        <f>Sheet1!I160</f>
        <v>-1728</v>
      </c>
      <c r="G160" t="str">
        <f t="shared" si="2"/>
        <v>Approved</v>
      </c>
    </row>
    <row r="161" spans="1:7">
      <c r="A161" t="str">
        <f>Sheet1!A161</f>
        <v>C160</v>
      </c>
      <c r="B161" t="str">
        <f>Sheet1!B161</f>
        <v>Ray, Wright and Wood</v>
      </c>
      <c r="C161">
        <f>Sheet1!R161</f>
        <v>74</v>
      </c>
      <c r="D161">
        <f>Sheet1!H161</f>
        <v>0.23</v>
      </c>
      <c r="E161">
        <f>Sheet1!P161</f>
        <v>63</v>
      </c>
      <c r="F161">
        <f>Sheet1!I161</f>
        <v>776781</v>
      </c>
      <c r="G161" t="str">
        <f t="shared" si="2"/>
        <v>Approved</v>
      </c>
    </row>
    <row r="162" spans="1:7">
      <c r="A162" t="str">
        <f>Sheet1!A162</f>
        <v>C161</v>
      </c>
      <c r="B162" t="str">
        <f>Sheet1!B162</f>
        <v>Smith-Shannon</v>
      </c>
      <c r="C162">
        <f>Sheet1!R162</f>
        <v>70</v>
      </c>
      <c r="D162">
        <f>Sheet1!H162</f>
        <v>0.49</v>
      </c>
      <c r="E162">
        <f>Sheet1!P162</f>
        <v>78</v>
      </c>
      <c r="F162">
        <f>Sheet1!I162</f>
        <v>110213</v>
      </c>
      <c r="G162" t="str">
        <f t="shared" si="2"/>
        <v>Approved</v>
      </c>
    </row>
    <row r="163" spans="1:7">
      <c r="A163" t="str">
        <f>Sheet1!A163</f>
        <v>C162</v>
      </c>
      <c r="B163" t="str">
        <f>Sheet1!B163</f>
        <v>Nash-Owen</v>
      </c>
      <c r="C163">
        <f>Sheet1!R163</f>
        <v>53</v>
      </c>
      <c r="D163">
        <f>Sheet1!H163</f>
        <v>1.2</v>
      </c>
      <c r="E163">
        <f>Sheet1!P163</f>
        <v>76</v>
      </c>
      <c r="F163">
        <f>Sheet1!I163</f>
        <v>811961</v>
      </c>
      <c r="G163" t="str">
        <f t="shared" si="2"/>
        <v>Manual Review</v>
      </c>
    </row>
    <row r="164" spans="1:7">
      <c r="A164" t="str">
        <f>Sheet1!A164</f>
        <v>C163</v>
      </c>
      <c r="B164" t="str">
        <f>Sheet1!B164</f>
        <v>Johnson-Hoffman</v>
      </c>
      <c r="C164">
        <f>Sheet1!R164</f>
        <v>69</v>
      </c>
      <c r="D164">
        <f>Sheet1!H164</f>
        <v>0.77</v>
      </c>
      <c r="E164">
        <f>Sheet1!P164</f>
        <v>85</v>
      </c>
      <c r="F164">
        <f>Sheet1!I164</f>
        <v>774993</v>
      </c>
      <c r="G164" t="str">
        <f t="shared" si="2"/>
        <v>Manual Review</v>
      </c>
    </row>
    <row r="165" spans="1:7">
      <c r="A165" t="str">
        <f>Sheet1!A165</f>
        <v>C164</v>
      </c>
      <c r="B165" t="str">
        <f>Sheet1!B165</f>
        <v>Ruiz, Williams and Jackson</v>
      </c>
      <c r="C165">
        <f>Sheet1!R165</f>
        <v>56</v>
      </c>
      <c r="D165">
        <f>Sheet1!H165</f>
        <v>0.97</v>
      </c>
      <c r="E165">
        <f>Sheet1!P165</f>
        <v>64</v>
      </c>
      <c r="F165">
        <f>Sheet1!I165</f>
        <v>884404</v>
      </c>
      <c r="G165" t="str">
        <f t="shared" si="2"/>
        <v>Manual Review</v>
      </c>
    </row>
    <row r="166" spans="1:7">
      <c r="A166" t="str">
        <f>Sheet1!A166</f>
        <v>C165</v>
      </c>
      <c r="B166" t="str">
        <f>Sheet1!B166</f>
        <v>Vargas, Kelly and Washington</v>
      </c>
      <c r="C166">
        <f>Sheet1!R166</f>
        <v>79</v>
      </c>
      <c r="D166">
        <f>Sheet1!H166</f>
        <v>0.1</v>
      </c>
      <c r="E166">
        <f>Sheet1!P166</f>
        <v>69</v>
      </c>
      <c r="F166">
        <f>Sheet1!I166</f>
        <v>266887</v>
      </c>
      <c r="G166" t="str">
        <f t="shared" si="2"/>
        <v>Approved</v>
      </c>
    </row>
    <row r="167" spans="1:7">
      <c r="A167" t="str">
        <f>Sheet1!A167</f>
        <v>C166</v>
      </c>
      <c r="B167" t="str">
        <f>Sheet1!B167</f>
        <v>Clark, Sullivan and Bird</v>
      </c>
      <c r="C167">
        <f>Sheet1!R167</f>
        <v>62</v>
      </c>
      <c r="D167">
        <f>Sheet1!H167</f>
        <v>0.64</v>
      </c>
      <c r="E167">
        <f>Sheet1!P167</f>
        <v>98</v>
      </c>
      <c r="F167">
        <f>Sheet1!I167</f>
        <v>89494</v>
      </c>
      <c r="G167" t="str">
        <f t="shared" si="2"/>
        <v>Manual Review</v>
      </c>
    </row>
    <row r="168" spans="1:7">
      <c r="A168" t="str">
        <f>Sheet1!A168</f>
        <v>C167</v>
      </c>
      <c r="B168" t="str">
        <f>Sheet1!B168</f>
        <v>Bell Inc</v>
      </c>
      <c r="C168">
        <f>Sheet1!R168</f>
        <v>66</v>
      </c>
      <c r="D168">
        <f>Sheet1!H168</f>
        <v>1.19</v>
      </c>
      <c r="E168">
        <f>Sheet1!P168</f>
        <v>100</v>
      </c>
      <c r="F168">
        <f>Sheet1!I168</f>
        <v>924315</v>
      </c>
      <c r="G168" t="str">
        <f t="shared" si="2"/>
        <v>Manual Review</v>
      </c>
    </row>
    <row r="169" spans="1:7">
      <c r="A169" t="str">
        <f>Sheet1!A169</f>
        <v>C168</v>
      </c>
      <c r="B169" t="str">
        <f>Sheet1!B169</f>
        <v>Williams and Sons</v>
      </c>
      <c r="C169">
        <f>Sheet1!R169</f>
        <v>52</v>
      </c>
      <c r="D169">
        <f>Sheet1!H169</f>
        <v>0.71</v>
      </c>
      <c r="E169">
        <f>Sheet1!P169</f>
        <v>64</v>
      </c>
      <c r="F169">
        <f>Sheet1!I169</f>
        <v>947524</v>
      </c>
      <c r="G169" t="str">
        <f t="shared" si="2"/>
        <v>Manual Review</v>
      </c>
    </row>
    <row r="170" spans="1:7">
      <c r="A170" t="str">
        <f>Sheet1!A170</f>
        <v>C169</v>
      </c>
      <c r="B170" t="str">
        <f>Sheet1!B170</f>
        <v>Mendoza LLC</v>
      </c>
      <c r="C170">
        <f>Sheet1!R170</f>
        <v>61</v>
      </c>
      <c r="D170">
        <f>Sheet1!H170</f>
        <v>0.92</v>
      </c>
      <c r="E170">
        <f>Sheet1!P170</f>
        <v>63</v>
      </c>
      <c r="F170">
        <f>Sheet1!I170</f>
        <v>-77265</v>
      </c>
      <c r="G170" t="str">
        <f t="shared" si="2"/>
        <v>Manual Review</v>
      </c>
    </row>
    <row r="171" spans="1:7">
      <c r="A171" t="str">
        <f>Sheet1!A171</f>
        <v>C170</v>
      </c>
      <c r="B171" t="str">
        <f>Sheet1!B171</f>
        <v>Ramirez Ltd</v>
      </c>
      <c r="C171">
        <f>Sheet1!R171</f>
        <v>65</v>
      </c>
      <c r="D171">
        <f>Sheet1!H171</f>
        <v>0.64</v>
      </c>
      <c r="E171">
        <f>Sheet1!P171</f>
        <v>97</v>
      </c>
      <c r="F171">
        <f>Sheet1!I171</f>
        <v>248424</v>
      </c>
      <c r="G171" t="str">
        <f t="shared" si="2"/>
        <v>Manual Review</v>
      </c>
    </row>
    <row r="172" spans="1:7">
      <c r="A172" t="str">
        <f>Sheet1!A172</f>
        <v>C171</v>
      </c>
      <c r="B172" t="str">
        <f>Sheet1!B172</f>
        <v>Terrell Inc</v>
      </c>
      <c r="C172">
        <f>Sheet1!R172</f>
        <v>64</v>
      </c>
      <c r="D172">
        <f>Sheet1!H172</f>
        <v>0.59</v>
      </c>
      <c r="E172">
        <f>Sheet1!P172</f>
        <v>63</v>
      </c>
      <c r="F172">
        <f>Sheet1!I172</f>
        <v>-27114</v>
      </c>
      <c r="G172" t="str">
        <f t="shared" si="2"/>
        <v>Manual Review</v>
      </c>
    </row>
    <row r="173" spans="1:7">
      <c r="A173" t="str">
        <f>Sheet1!A173</f>
        <v>C172</v>
      </c>
      <c r="B173" t="str">
        <f>Sheet1!B173</f>
        <v>Gordon-Spence</v>
      </c>
      <c r="C173">
        <f>Sheet1!R173</f>
        <v>47</v>
      </c>
      <c r="D173">
        <f>Sheet1!H173</f>
        <v>0.94</v>
      </c>
      <c r="E173">
        <f>Sheet1!P173</f>
        <v>61</v>
      </c>
      <c r="F173">
        <f>Sheet1!I173</f>
        <v>264848</v>
      </c>
      <c r="G173" t="str">
        <f t="shared" si="2"/>
        <v>Rejected</v>
      </c>
    </row>
    <row r="174" spans="1:7">
      <c r="A174" t="str">
        <f>Sheet1!A174</f>
        <v>C173</v>
      </c>
      <c r="B174" t="str">
        <f>Sheet1!B174</f>
        <v>Paul PLC</v>
      </c>
      <c r="C174">
        <f>Sheet1!R174</f>
        <v>67</v>
      </c>
      <c r="D174">
        <f>Sheet1!H174</f>
        <v>0.94</v>
      </c>
      <c r="E174">
        <f>Sheet1!P174</f>
        <v>91</v>
      </c>
      <c r="F174">
        <f>Sheet1!I174</f>
        <v>848963</v>
      </c>
      <c r="G174" t="str">
        <f t="shared" si="2"/>
        <v>Manual Review</v>
      </c>
    </row>
    <row r="175" spans="1:7">
      <c r="A175" t="str">
        <f>Sheet1!A175</f>
        <v>C174</v>
      </c>
      <c r="B175" t="str">
        <f>Sheet1!B175</f>
        <v>Kane-Castaneda</v>
      </c>
      <c r="C175">
        <f>Sheet1!R175</f>
        <v>59</v>
      </c>
      <c r="D175">
        <f>Sheet1!H175</f>
        <v>0.75</v>
      </c>
      <c r="E175">
        <f>Sheet1!P175</f>
        <v>84</v>
      </c>
      <c r="F175">
        <f>Sheet1!I175</f>
        <v>771277</v>
      </c>
      <c r="G175" t="str">
        <f t="shared" si="2"/>
        <v>Manual Review</v>
      </c>
    </row>
    <row r="176" spans="1:7">
      <c r="A176" t="str">
        <f>Sheet1!A176</f>
        <v>C175</v>
      </c>
      <c r="B176" t="str">
        <f>Sheet1!B176</f>
        <v>Jones Inc</v>
      </c>
      <c r="C176">
        <f>Sheet1!R176</f>
        <v>51</v>
      </c>
      <c r="D176">
        <f>Sheet1!H176</f>
        <v>0.95</v>
      </c>
      <c r="E176">
        <f>Sheet1!P176</f>
        <v>89</v>
      </c>
      <c r="F176">
        <f>Sheet1!I176</f>
        <v>539288</v>
      </c>
      <c r="G176" t="str">
        <f t="shared" si="2"/>
        <v>Manual Review</v>
      </c>
    </row>
    <row r="177" spans="1:7">
      <c r="A177" t="str">
        <f>Sheet1!A177</f>
        <v>C176</v>
      </c>
      <c r="B177" t="str">
        <f>Sheet1!B177</f>
        <v>Mendez-Williams</v>
      </c>
      <c r="C177">
        <f>Sheet1!R177</f>
        <v>59</v>
      </c>
      <c r="D177">
        <f>Sheet1!H177</f>
        <v>0.54</v>
      </c>
      <c r="E177">
        <f>Sheet1!P177</f>
        <v>88</v>
      </c>
      <c r="F177">
        <f>Sheet1!I177</f>
        <v>424071</v>
      </c>
      <c r="G177" t="str">
        <f t="shared" si="2"/>
        <v>Manual Review</v>
      </c>
    </row>
    <row r="178" spans="1:7">
      <c r="A178" t="str">
        <f>Sheet1!A178</f>
        <v>C177</v>
      </c>
      <c r="B178" t="str">
        <f>Sheet1!B178</f>
        <v>Coleman-Barber</v>
      </c>
      <c r="C178">
        <f>Sheet1!R178</f>
        <v>72</v>
      </c>
      <c r="D178">
        <f>Sheet1!H178</f>
        <v>0.34</v>
      </c>
      <c r="E178">
        <f>Sheet1!P178</f>
        <v>62</v>
      </c>
      <c r="F178">
        <f>Sheet1!I178</f>
        <v>-6630</v>
      </c>
      <c r="G178" t="str">
        <f t="shared" si="2"/>
        <v>Approved</v>
      </c>
    </row>
    <row r="179" spans="1:7">
      <c r="A179" t="str">
        <f>Sheet1!A179</f>
        <v>C178</v>
      </c>
      <c r="B179" t="str">
        <f>Sheet1!B179</f>
        <v>Harvey-Baker</v>
      </c>
      <c r="C179">
        <f>Sheet1!R179</f>
        <v>65</v>
      </c>
      <c r="D179">
        <f>Sheet1!H179</f>
        <v>0.44</v>
      </c>
      <c r="E179">
        <f>Sheet1!P179</f>
        <v>80</v>
      </c>
      <c r="F179">
        <f>Sheet1!I179</f>
        <v>713256</v>
      </c>
      <c r="G179" t="str">
        <f t="shared" si="2"/>
        <v>Manual Review</v>
      </c>
    </row>
    <row r="180" spans="1:7">
      <c r="A180" t="str">
        <f>Sheet1!A180</f>
        <v>C179</v>
      </c>
      <c r="B180" t="str">
        <f>Sheet1!B180</f>
        <v>Baker, Wood and Richard</v>
      </c>
      <c r="C180">
        <f>Sheet1!R180</f>
        <v>79</v>
      </c>
      <c r="D180">
        <f>Sheet1!H180</f>
        <v>0.19</v>
      </c>
      <c r="E180">
        <f>Sheet1!P180</f>
        <v>75</v>
      </c>
      <c r="F180">
        <f>Sheet1!I180</f>
        <v>702129</v>
      </c>
      <c r="G180" t="str">
        <f t="shared" si="2"/>
        <v>Approved</v>
      </c>
    </row>
    <row r="181" spans="1:7">
      <c r="A181" t="str">
        <f>Sheet1!A181</f>
        <v>C180</v>
      </c>
      <c r="B181" t="str">
        <f>Sheet1!B181</f>
        <v>Duran Ltd</v>
      </c>
      <c r="C181">
        <f>Sheet1!R181</f>
        <v>45</v>
      </c>
      <c r="D181">
        <f>Sheet1!H181</f>
        <v>1.17</v>
      </c>
      <c r="E181">
        <f>Sheet1!P181</f>
        <v>82</v>
      </c>
      <c r="F181">
        <f>Sheet1!I181</f>
        <v>714477</v>
      </c>
      <c r="G181" t="str">
        <f t="shared" si="2"/>
        <v>Rejected</v>
      </c>
    </row>
    <row r="182" spans="1:7">
      <c r="A182" t="str">
        <f>Sheet1!A182</f>
        <v>C181</v>
      </c>
      <c r="B182" t="str">
        <f>Sheet1!B182</f>
        <v>Murray, Wright and Jensen</v>
      </c>
      <c r="C182">
        <f>Sheet1!R182</f>
        <v>63</v>
      </c>
      <c r="D182">
        <f>Sheet1!H182</f>
        <v>0.92</v>
      </c>
      <c r="E182">
        <f>Sheet1!P182</f>
        <v>63</v>
      </c>
      <c r="F182">
        <f>Sheet1!I182</f>
        <v>317917</v>
      </c>
      <c r="G182" t="str">
        <f t="shared" si="2"/>
        <v>Manual Review</v>
      </c>
    </row>
    <row r="183" spans="1:7">
      <c r="A183" t="str">
        <f>Sheet1!A183</f>
        <v>C182</v>
      </c>
      <c r="B183" t="str">
        <f>Sheet1!B183</f>
        <v>Davis and Sons</v>
      </c>
      <c r="C183">
        <f>Sheet1!R183</f>
        <v>70</v>
      </c>
      <c r="D183">
        <f>Sheet1!H183</f>
        <v>0.28000000000000003</v>
      </c>
      <c r="E183">
        <f>Sheet1!P183</f>
        <v>63</v>
      </c>
      <c r="F183">
        <f>Sheet1!I183</f>
        <v>707706</v>
      </c>
      <c r="G183" t="str">
        <f t="shared" si="2"/>
        <v>Approved</v>
      </c>
    </row>
    <row r="184" spans="1:7">
      <c r="A184" t="str">
        <f>Sheet1!A184</f>
        <v>C183</v>
      </c>
      <c r="B184" t="str">
        <f>Sheet1!B184</f>
        <v>Conley, Wood and Cruz</v>
      </c>
      <c r="C184">
        <f>Sheet1!R184</f>
        <v>68</v>
      </c>
      <c r="D184">
        <f>Sheet1!H184</f>
        <v>0.42</v>
      </c>
      <c r="E184">
        <f>Sheet1!P184</f>
        <v>69</v>
      </c>
      <c r="F184">
        <f>Sheet1!I184</f>
        <v>242589</v>
      </c>
      <c r="G184" t="str">
        <f t="shared" si="2"/>
        <v>Manual Review</v>
      </c>
    </row>
    <row r="185" spans="1:7">
      <c r="A185" t="str">
        <f>Sheet1!A185</f>
        <v>C184</v>
      </c>
      <c r="B185" t="str">
        <f>Sheet1!B185</f>
        <v>Gomez LLC</v>
      </c>
      <c r="C185">
        <f>Sheet1!R185</f>
        <v>61</v>
      </c>
      <c r="D185">
        <f>Sheet1!H185</f>
        <v>1.2</v>
      </c>
      <c r="E185">
        <f>Sheet1!P185</f>
        <v>87</v>
      </c>
      <c r="F185">
        <f>Sheet1!I185</f>
        <v>937949</v>
      </c>
      <c r="G185" t="str">
        <f t="shared" si="2"/>
        <v>Manual Review</v>
      </c>
    </row>
    <row r="186" spans="1:7">
      <c r="A186" t="str">
        <f>Sheet1!A186</f>
        <v>C185</v>
      </c>
      <c r="B186" t="str">
        <f>Sheet1!B186</f>
        <v>Brooks-Porter</v>
      </c>
      <c r="C186">
        <f>Sheet1!R186</f>
        <v>54</v>
      </c>
      <c r="D186">
        <f>Sheet1!H186</f>
        <v>1.05</v>
      </c>
      <c r="E186">
        <f>Sheet1!P186</f>
        <v>71</v>
      </c>
      <c r="F186">
        <f>Sheet1!I186</f>
        <v>475824</v>
      </c>
      <c r="G186" t="str">
        <f t="shared" si="2"/>
        <v>Manual Review</v>
      </c>
    </row>
    <row r="187" spans="1:7">
      <c r="A187" t="str">
        <f>Sheet1!A187</f>
        <v>C186</v>
      </c>
      <c r="B187" t="str">
        <f>Sheet1!B187</f>
        <v>Parker-Norris</v>
      </c>
      <c r="C187">
        <f>Sheet1!R187</f>
        <v>50</v>
      </c>
      <c r="D187">
        <f>Sheet1!H187</f>
        <v>0.86</v>
      </c>
      <c r="E187">
        <f>Sheet1!P187</f>
        <v>65</v>
      </c>
      <c r="F187">
        <f>Sheet1!I187</f>
        <v>155320</v>
      </c>
      <c r="G187" t="str">
        <f t="shared" si="2"/>
        <v>Manual Review</v>
      </c>
    </row>
    <row r="188" spans="1:7">
      <c r="A188" t="str">
        <f>Sheet1!A188</f>
        <v>C187</v>
      </c>
      <c r="B188" t="str">
        <f>Sheet1!B188</f>
        <v>Walter, Rosales and Morales</v>
      </c>
      <c r="C188">
        <f>Sheet1!R188</f>
        <v>64</v>
      </c>
      <c r="D188">
        <f>Sheet1!H188</f>
        <v>0.91</v>
      </c>
      <c r="E188">
        <f>Sheet1!P188</f>
        <v>97</v>
      </c>
      <c r="F188">
        <f>Sheet1!I188</f>
        <v>194499</v>
      </c>
      <c r="G188" t="str">
        <f t="shared" si="2"/>
        <v>Manual Review</v>
      </c>
    </row>
    <row r="189" spans="1:7">
      <c r="A189" t="str">
        <f>Sheet1!A189</f>
        <v>C188</v>
      </c>
      <c r="B189" t="str">
        <f>Sheet1!B189</f>
        <v>Palmer PLC</v>
      </c>
      <c r="C189">
        <f>Sheet1!R189</f>
        <v>62</v>
      </c>
      <c r="D189">
        <f>Sheet1!H189</f>
        <v>1.1000000000000001</v>
      </c>
      <c r="E189">
        <f>Sheet1!P189</f>
        <v>72</v>
      </c>
      <c r="F189">
        <f>Sheet1!I189</f>
        <v>416433</v>
      </c>
      <c r="G189" t="str">
        <f t="shared" si="2"/>
        <v>Manual Review</v>
      </c>
    </row>
    <row r="190" spans="1:7">
      <c r="A190" t="str">
        <f>Sheet1!A190</f>
        <v>C189</v>
      </c>
      <c r="B190" t="str">
        <f>Sheet1!B190</f>
        <v>Munoz Group</v>
      </c>
      <c r="C190">
        <f>Sheet1!R190</f>
        <v>65</v>
      </c>
      <c r="D190">
        <f>Sheet1!H190</f>
        <v>0.48</v>
      </c>
      <c r="E190">
        <f>Sheet1!P190</f>
        <v>78</v>
      </c>
      <c r="F190">
        <f>Sheet1!I190</f>
        <v>565058</v>
      </c>
      <c r="G190" t="str">
        <f t="shared" si="2"/>
        <v>Manual Review</v>
      </c>
    </row>
    <row r="191" spans="1:7">
      <c r="A191" t="str">
        <f>Sheet1!A191</f>
        <v>C190</v>
      </c>
      <c r="B191" t="str">
        <f>Sheet1!B191</f>
        <v>Whitaker-Meyer</v>
      </c>
      <c r="C191">
        <f>Sheet1!R191</f>
        <v>66</v>
      </c>
      <c r="D191">
        <f>Sheet1!H191</f>
        <v>0.28999999999999998</v>
      </c>
      <c r="E191">
        <f>Sheet1!P191</f>
        <v>96</v>
      </c>
      <c r="F191">
        <f>Sheet1!I191</f>
        <v>718637</v>
      </c>
      <c r="G191" t="str">
        <f t="shared" si="2"/>
        <v>Manual Review</v>
      </c>
    </row>
    <row r="192" spans="1:7">
      <c r="A192" t="str">
        <f>Sheet1!A192</f>
        <v>C191</v>
      </c>
      <c r="B192" t="str">
        <f>Sheet1!B192</f>
        <v>Williams LLC</v>
      </c>
      <c r="C192">
        <f>Sheet1!R192</f>
        <v>78</v>
      </c>
      <c r="D192">
        <f>Sheet1!H192</f>
        <v>0.19</v>
      </c>
      <c r="E192">
        <f>Sheet1!P192</f>
        <v>84</v>
      </c>
      <c r="F192">
        <f>Sheet1!I192</f>
        <v>8740</v>
      </c>
      <c r="G192" t="str">
        <f t="shared" si="2"/>
        <v>Approved</v>
      </c>
    </row>
    <row r="193" spans="1:7">
      <c r="A193" t="str">
        <f>Sheet1!A193</f>
        <v>C192</v>
      </c>
      <c r="B193" t="str">
        <f>Sheet1!B193</f>
        <v>Estrada-Juarez</v>
      </c>
      <c r="C193">
        <f>Sheet1!R193</f>
        <v>61</v>
      </c>
      <c r="D193">
        <f>Sheet1!H193</f>
        <v>0.46</v>
      </c>
      <c r="E193">
        <f>Sheet1!P193</f>
        <v>91</v>
      </c>
      <c r="F193">
        <f>Sheet1!I193</f>
        <v>377605</v>
      </c>
      <c r="G193" t="str">
        <f t="shared" si="2"/>
        <v>Manual Review</v>
      </c>
    </row>
    <row r="194" spans="1:7">
      <c r="A194" t="str">
        <f>Sheet1!A194</f>
        <v>C193</v>
      </c>
      <c r="B194" t="str">
        <f>Sheet1!B194</f>
        <v>Kelly, Ruiz and Jones</v>
      </c>
      <c r="C194">
        <f>Sheet1!R194</f>
        <v>73</v>
      </c>
      <c r="D194">
        <f>Sheet1!H194</f>
        <v>0.24</v>
      </c>
      <c r="E194">
        <f>Sheet1!P194</f>
        <v>96</v>
      </c>
      <c r="F194">
        <f>Sheet1!I194</f>
        <v>754940</v>
      </c>
      <c r="G194" t="str">
        <f t="shared" ref="G194:G257" si="3">IF(AND(C194&gt;=70,D194&lt;=1,E194&gt;=60),"Approved",IF(OR(C194&lt;50,D194&gt;2),"Rejected","Manual Review"))</f>
        <v>Approved</v>
      </c>
    </row>
    <row r="195" spans="1:7">
      <c r="A195" t="str">
        <f>Sheet1!A195</f>
        <v>C194</v>
      </c>
      <c r="B195" t="str">
        <f>Sheet1!B195</f>
        <v>Parker-Carter</v>
      </c>
      <c r="C195">
        <f>Sheet1!R195</f>
        <v>71</v>
      </c>
      <c r="D195">
        <f>Sheet1!H195</f>
        <v>0.22</v>
      </c>
      <c r="E195">
        <f>Sheet1!P195</f>
        <v>67</v>
      </c>
      <c r="F195">
        <f>Sheet1!I195</f>
        <v>450799</v>
      </c>
      <c r="G195" t="str">
        <f t="shared" si="3"/>
        <v>Approved</v>
      </c>
    </row>
    <row r="196" spans="1:7">
      <c r="A196" t="str">
        <f>Sheet1!A196</f>
        <v>C195</v>
      </c>
      <c r="B196" t="str">
        <f>Sheet1!B196</f>
        <v>Barton Inc</v>
      </c>
      <c r="C196">
        <f>Sheet1!R196</f>
        <v>72</v>
      </c>
      <c r="D196">
        <f>Sheet1!H196</f>
        <v>0.63</v>
      </c>
      <c r="E196">
        <f>Sheet1!P196</f>
        <v>82</v>
      </c>
      <c r="F196">
        <f>Sheet1!I196</f>
        <v>38414</v>
      </c>
      <c r="G196" t="str">
        <f t="shared" si="3"/>
        <v>Approved</v>
      </c>
    </row>
    <row r="197" spans="1:7">
      <c r="A197" t="str">
        <f>Sheet1!A197</f>
        <v>C196</v>
      </c>
      <c r="B197" t="str">
        <f>Sheet1!B197</f>
        <v>Ramsey LLC</v>
      </c>
      <c r="C197">
        <f>Sheet1!R197</f>
        <v>59</v>
      </c>
      <c r="D197">
        <f>Sheet1!H197</f>
        <v>0.61</v>
      </c>
      <c r="E197">
        <f>Sheet1!P197</f>
        <v>70</v>
      </c>
      <c r="F197">
        <f>Sheet1!I197</f>
        <v>775331</v>
      </c>
      <c r="G197" t="str">
        <f t="shared" si="3"/>
        <v>Manual Review</v>
      </c>
    </row>
    <row r="198" spans="1:7">
      <c r="A198" t="str">
        <f>Sheet1!A198</f>
        <v>C197</v>
      </c>
      <c r="B198" t="str">
        <f>Sheet1!B198</f>
        <v>Peterson, Morse and Miller</v>
      </c>
      <c r="C198">
        <f>Sheet1!R198</f>
        <v>65</v>
      </c>
      <c r="D198">
        <f>Sheet1!H198</f>
        <v>0.61</v>
      </c>
      <c r="E198">
        <f>Sheet1!P198</f>
        <v>87</v>
      </c>
      <c r="F198">
        <f>Sheet1!I198</f>
        <v>-26078</v>
      </c>
      <c r="G198" t="str">
        <f t="shared" si="3"/>
        <v>Manual Review</v>
      </c>
    </row>
    <row r="199" spans="1:7">
      <c r="A199" t="str">
        <f>Sheet1!A199</f>
        <v>C198</v>
      </c>
      <c r="B199" t="str">
        <f>Sheet1!B199</f>
        <v>Munoz-Kelly</v>
      </c>
      <c r="C199">
        <f>Sheet1!R199</f>
        <v>60</v>
      </c>
      <c r="D199">
        <f>Sheet1!H199</f>
        <v>0.5</v>
      </c>
      <c r="E199">
        <f>Sheet1!P199</f>
        <v>66</v>
      </c>
      <c r="F199">
        <f>Sheet1!I199</f>
        <v>787469</v>
      </c>
      <c r="G199" t="str">
        <f t="shared" si="3"/>
        <v>Manual Review</v>
      </c>
    </row>
    <row r="200" spans="1:7">
      <c r="A200" t="str">
        <f>Sheet1!A200</f>
        <v>C199</v>
      </c>
      <c r="B200" t="str">
        <f>Sheet1!B200</f>
        <v>Jordan-Stone</v>
      </c>
      <c r="C200">
        <f>Sheet1!R200</f>
        <v>60</v>
      </c>
      <c r="D200">
        <f>Sheet1!H200</f>
        <v>0.67</v>
      </c>
      <c r="E200">
        <f>Sheet1!P200</f>
        <v>67</v>
      </c>
      <c r="F200">
        <f>Sheet1!I200</f>
        <v>-76846</v>
      </c>
      <c r="G200" t="str">
        <f t="shared" si="3"/>
        <v>Manual Review</v>
      </c>
    </row>
    <row r="201" spans="1:7">
      <c r="A201" t="str">
        <f>Sheet1!A201</f>
        <v>C200</v>
      </c>
      <c r="B201" t="str">
        <f>Sheet1!B201</f>
        <v>Crawford-White</v>
      </c>
      <c r="C201">
        <f>Sheet1!R201</f>
        <v>55</v>
      </c>
      <c r="D201">
        <f>Sheet1!H201</f>
        <v>0.72</v>
      </c>
      <c r="E201">
        <f>Sheet1!P201</f>
        <v>80</v>
      </c>
      <c r="F201">
        <f>Sheet1!I201</f>
        <v>695451</v>
      </c>
      <c r="G201" t="str">
        <f t="shared" si="3"/>
        <v>Manual Review</v>
      </c>
    </row>
    <row r="202" spans="1:7">
      <c r="A202" t="str">
        <f>Sheet1!A202</f>
        <v>C201</v>
      </c>
      <c r="B202" t="str">
        <f>Sheet1!B202</f>
        <v>Jensen LLC</v>
      </c>
      <c r="C202">
        <f>Sheet1!R202</f>
        <v>73</v>
      </c>
      <c r="D202">
        <f>Sheet1!H202</f>
        <v>0.11</v>
      </c>
      <c r="E202">
        <f>Sheet1!P202</f>
        <v>74</v>
      </c>
      <c r="F202">
        <f>Sheet1!I202</f>
        <v>513696</v>
      </c>
      <c r="G202" t="str">
        <f t="shared" si="3"/>
        <v>Approved</v>
      </c>
    </row>
    <row r="203" spans="1:7">
      <c r="A203" t="str">
        <f>Sheet1!A203</f>
        <v>C202</v>
      </c>
      <c r="B203" t="str">
        <f>Sheet1!B203</f>
        <v>Palmer-Johnson</v>
      </c>
      <c r="C203">
        <f>Sheet1!R203</f>
        <v>66</v>
      </c>
      <c r="D203">
        <f>Sheet1!H203</f>
        <v>0.76</v>
      </c>
      <c r="E203">
        <f>Sheet1!P203</f>
        <v>70</v>
      </c>
      <c r="F203">
        <f>Sheet1!I203</f>
        <v>-85269</v>
      </c>
      <c r="G203" t="str">
        <f t="shared" si="3"/>
        <v>Manual Review</v>
      </c>
    </row>
    <row r="204" spans="1:7">
      <c r="A204" t="str">
        <f>Sheet1!A204</f>
        <v>C203</v>
      </c>
      <c r="B204" t="str">
        <f>Sheet1!B204</f>
        <v>Flores PLC</v>
      </c>
      <c r="C204">
        <f>Sheet1!R204</f>
        <v>54</v>
      </c>
      <c r="D204">
        <f>Sheet1!H204</f>
        <v>1.1599999999999999</v>
      </c>
      <c r="E204">
        <f>Sheet1!P204</f>
        <v>95</v>
      </c>
      <c r="F204">
        <f>Sheet1!I204</f>
        <v>-87254</v>
      </c>
      <c r="G204" t="str">
        <f t="shared" si="3"/>
        <v>Manual Review</v>
      </c>
    </row>
    <row r="205" spans="1:7">
      <c r="A205" t="str">
        <f>Sheet1!A205</f>
        <v>C204</v>
      </c>
      <c r="B205" t="str">
        <f>Sheet1!B205</f>
        <v>Bell PLC</v>
      </c>
      <c r="C205">
        <f>Sheet1!R205</f>
        <v>55</v>
      </c>
      <c r="D205">
        <f>Sheet1!H205</f>
        <v>0.43</v>
      </c>
      <c r="E205">
        <f>Sheet1!P205</f>
        <v>65</v>
      </c>
      <c r="F205">
        <f>Sheet1!I205</f>
        <v>92994</v>
      </c>
      <c r="G205" t="str">
        <f t="shared" si="3"/>
        <v>Manual Review</v>
      </c>
    </row>
    <row r="206" spans="1:7">
      <c r="A206" t="str">
        <f>Sheet1!A206</f>
        <v>C205</v>
      </c>
      <c r="B206" t="str">
        <f>Sheet1!B206</f>
        <v>Fletcher-Durham</v>
      </c>
      <c r="C206">
        <f>Sheet1!R206</f>
        <v>58</v>
      </c>
      <c r="D206">
        <f>Sheet1!H206</f>
        <v>1.0900000000000001</v>
      </c>
      <c r="E206">
        <f>Sheet1!P206</f>
        <v>83</v>
      </c>
      <c r="F206">
        <f>Sheet1!I206</f>
        <v>580164</v>
      </c>
      <c r="G206" t="str">
        <f t="shared" si="3"/>
        <v>Manual Review</v>
      </c>
    </row>
    <row r="207" spans="1:7">
      <c r="A207" t="str">
        <f>Sheet1!A207</f>
        <v>C206</v>
      </c>
      <c r="B207" t="str">
        <f>Sheet1!B207</f>
        <v>Miller-King</v>
      </c>
      <c r="C207">
        <f>Sheet1!R207</f>
        <v>62</v>
      </c>
      <c r="D207">
        <f>Sheet1!H207</f>
        <v>0.79</v>
      </c>
      <c r="E207">
        <f>Sheet1!P207</f>
        <v>81</v>
      </c>
      <c r="F207">
        <f>Sheet1!I207</f>
        <v>670408</v>
      </c>
      <c r="G207" t="str">
        <f t="shared" si="3"/>
        <v>Manual Review</v>
      </c>
    </row>
    <row r="208" spans="1:7">
      <c r="A208" t="str">
        <f>Sheet1!A208</f>
        <v>C207</v>
      </c>
      <c r="B208" t="str">
        <f>Sheet1!B208</f>
        <v>Alexander, Christensen and Johnson</v>
      </c>
      <c r="C208">
        <f>Sheet1!R208</f>
        <v>61</v>
      </c>
      <c r="D208">
        <f>Sheet1!H208</f>
        <v>0.71</v>
      </c>
      <c r="E208">
        <f>Sheet1!P208</f>
        <v>86</v>
      </c>
      <c r="F208">
        <f>Sheet1!I208</f>
        <v>-55402</v>
      </c>
      <c r="G208" t="str">
        <f t="shared" si="3"/>
        <v>Manual Review</v>
      </c>
    </row>
    <row r="209" spans="1:7">
      <c r="A209" t="str">
        <f>Sheet1!A209</f>
        <v>C208</v>
      </c>
      <c r="B209" t="str">
        <f>Sheet1!B209</f>
        <v>Miller, Thompson and Pope</v>
      </c>
      <c r="C209">
        <f>Sheet1!R209</f>
        <v>55</v>
      </c>
      <c r="D209">
        <f>Sheet1!H209</f>
        <v>0.85</v>
      </c>
      <c r="E209">
        <f>Sheet1!P209</f>
        <v>77</v>
      </c>
      <c r="F209">
        <f>Sheet1!I209</f>
        <v>-40225</v>
      </c>
      <c r="G209" t="str">
        <f t="shared" si="3"/>
        <v>Manual Review</v>
      </c>
    </row>
    <row r="210" spans="1:7">
      <c r="A210" t="str">
        <f>Sheet1!A210</f>
        <v>C209</v>
      </c>
      <c r="B210" t="str">
        <f>Sheet1!B210</f>
        <v>Roberts Group</v>
      </c>
      <c r="C210">
        <f>Sheet1!R210</f>
        <v>53</v>
      </c>
      <c r="D210">
        <f>Sheet1!H210</f>
        <v>0.95</v>
      </c>
      <c r="E210">
        <f>Sheet1!P210</f>
        <v>76</v>
      </c>
      <c r="F210">
        <f>Sheet1!I210</f>
        <v>975116</v>
      </c>
      <c r="G210" t="str">
        <f t="shared" si="3"/>
        <v>Manual Review</v>
      </c>
    </row>
    <row r="211" spans="1:7">
      <c r="A211" t="str">
        <f>Sheet1!A211</f>
        <v>C210</v>
      </c>
      <c r="B211" t="str">
        <f>Sheet1!B211</f>
        <v>Petersen-Mccormick</v>
      </c>
      <c r="C211">
        <f>Sheet1!R211</f>
        <v>67</v>
      </c>
      <c r="D211">
        <f>Sheet1!H211</f>
        <v>0.47</v>
      </c>
      <c r="E211">
        <f>Sheet1!P211</f>
        <v>85</v>
      </c>
      <c r="F211">
        <f>Sheet1!I211</f>
        <v>967515</v>
      </c>
      <c r="G211" t="str">
        <f t="shared" si="3"/>
        <v>Manual Review</v>
      </c>
    </row>
    <row r="212" spans="1:7">
      <c r="A212" t="str">
        <f>Sheet1!A212</f>
        <v>C211</v>
      </c>
      <c r="B212" t="str">
        <f>Sheet1!B212</f>
        <v>Hood-Vang</v>
      </c>
      <c r="C212">
        <f>Sheet1!R212</f>
        <v>74</v>
      </c>
      <c r="D212">
        <f>Sheet1!H212</f>
        <v>0.51</v>
      </c>
      <c r="E212">
        <f>Sheet1!P212</f>
        <v>74</v>
      </c>
      <c r="F212">
        <f>Sheet1!I212</f>
        <v>455927</v>
      </c>
      <c r="G212" t="str">
        <f t="shared" si="3"/>
        <v>Approved</v>
      </c>
    </row>
    <row r="213" spans="1:7">
      <c r="A213" t="str">
        <f>Sheet1!A213</f>
        <v>C212</v>
      </c>
      <c r="B213" t="str">
        <f>Sheet1!B213</f>
        <v>Payne and Sons</v>
      </c>
      <c r="C213">
        <f>Sheet1!R213</f>
        <v>65</v>
      </c>
      <c r="D213">
        <f>Sheet1!H213</f>
        <v>0.94</v>
      </c>
      <c r="E213">
        <f>Sheet1!P213</f>
        <v>80</v>
      </c>
      <c r="F213">
        <f>Sheet1!I213</f>
        <v>128456</v>
      </c>
      <c r="G213" t="str">
        <f t="shared" si="3"/>
        <v>Manual Review</v>
      </c>
    </row>
    <row r="214" spans="1:7">
      <c r="A214" t="str">
        <f>Sheet1!A214</f>
        <v>C213</v>
      </c>
      <c r="B214" t="str">
        <f>Sheet1!B214</f>
        <v>Walters-Grant</v>
      </c>
      <c r="C214">
        <f>Sheet1!R214</f>
        <v>83</v>
      </c>
      <c r="D214">
        <f>Sheet1!H214</f>
        <v>0.2</v>
      </c>
      <c r="E214">
        <f>Sheet1!P214</f>
        <v>96</v>
      </c>
      <c r="F214">
        <f>Sheet1!I214</f>
        <v>-21257</v>
      </c>
      <c r="G214" t="str">
        <f t="shared" si="3"/>
        <v>Approved</v>
      </c>
    </row>
    <row r="215" spans="1:7">
      <c r="A215" t="str">
        <f>Sheet1!A215</f>
        <v>C214</v>
      </c>
      <c r="B215" t="str">
        <f>Sheet1!B215</f>
        <v>Nelson, Johnson and Miller</v>
      </c>
      <c r="C215">
        <f>Sheet1!R215</f>
        <v>59</v>
      </c>
      <c r="D215">
        <f>Sheet1!H215</f>
        <v>0.64</v>
      </c>
      <c r="E215">
        <f>Sheet1!P215</f>
        <v>80</v>
      </c>
      <c r="F215">
        <f>Sheet1!I215</f>
        <v>112973</v>
      </c>
      <c r="G215" t="str">
        <f t="shared" si="3"/>
        <v>Manual Review</v>
      </c>
    </row>
    <row r="216" spans="1:7">
      <c r="A216" t="str">
        <f>Sheet1!A216</f>
        <v>C215</v>
      </c>
      <c r="B216" t="str">
        <f>Sheet1!B216</f>
        <v>Perez Inc</v>
      </c>
      <c r="C216">
        <f>Sheet1!R216</f>
        <v>56</v>
      </c>
      <c r="D216">
        <f>Sheet1!H216</f>
        <v>0.64</v>
      </c>
      <c r="E216">
        <f>Sheet1!P216</f>
        <v>73</v>
      </c>
      <c r="F216">
        <f>Sheet1!I216</f>
        <v>188203</v>
      </c>
      <c r="G216" t="str">
        <f t="shared" si="3"/>
        <v>Manual Review</v>
      </c>
    </row>
    <row r="217" spans="1:7">
      <c r="A217" t="str">
        <f>Sheet1!A217</f>
        <v>C216</v>
      </c>
      <c r="B217" t="str">
        <f>Sheet1!B217</f>
        <v>Gordon, Mcguire and Vasquez</v>
      </c>
      <c r="C217">
        <f>Sheet1!R217</f>
        <v>61</v>
      </c>
      <c r="D217">
        <f>Sheet1!H217</f>
        <v>0.71</v>
      </c>
      <c r="E217">
        <f>Sheet1!P217</f>
        <v>81</v>
      </c>
      <c r="F217">
        <f>Sheet1!I217</f>
        <v>-48747</v>
      </c>
      <c r="G217" t="str">
        <f t="shared" si="3"/>
        <v>Manual Review</v>
      </c>
    </row>
    <row r="218" spans="1:7">
      <c r="A218" t="str">
        <f>Sheet1!A218</f>
        <v>C217</v>
      </c>
      <c r="B218" t="str">
        <f>Sheet1!B218</f>
        <v>White-Tyler</v>
      </c>
      <c r="C218">
        <f>Sheet1!R218</f>
        <v>57</v>
      </c>
      <c r="D218">
        <f>Sheet1!H218</f>
        <v>1.1399999999999999</v>
      </c>
      <c r="E218">
        <f>Sheet1!P218</f>
        <v>62</v>
      </c>
      <c r="F218">
        <f>Sheet1!I218</f>
        <v>659118</v>
      </c>
      <c r="G218" t="str">
        <f t="shared" si="3"/>
        <v>Manual Review</v>
      </c>
    </row>
    <row r="219" spans="1:7">
      <c r="A219" t="str">
        <f>Sheet1!A219</f>
        <v>C218</v>
      </c>
      <c r="B219" t="str">
        <f>Sheet1!B219</f>
        <v>Turner, Summers and Lynch</v>
      </c>
      <c r="C219">
        <f>Sheet1!R219</f>
        <v>84</v>
      </c>
      <c r="D219">
        <f>Sheet1!H219</f>
        <v>0.16</v>
      </c>
      <c r="E219">
        <f>Sheet1!P219</f>
        <v>84</v>
      </c>
      <c r="F219">
        <f>Sheet1!I219</f>
        <v>678513</v>
      </c>
      <c r="G219" t="str">
        <f t="shared" si="3"/>
        <v>Approved</v>
      </c>
    </row>
    <row r="220" spans="1:7">
      <c r="A220" t="str">
        <f>Sheet1!A220</f>
        <v>C219</v>
      </c>
      <c r="B220" t="str">
        <f>Sheet1!B220</f>
        <v>Davenport-May</v>
      </c>
      <c r="C220">
        <f>Sheet1!R220</f>
        <v>62</v>
      </c>
      <c r="D220">
        <f>Sheet1!H220</f>
        <v>0.41</v>
      </c>
      <c r="E220">
        <f>Sheet1!P220</f>
        <v>85</v>
      </c>
      <c r="F220">
        <f>Sheet1!I220</f>
        <v>347706</v>
      </c>
      <c r="G220" t="str">
        <f t="shared" si="3"/>
        <v>Manual Review</v>
      </c>
    </row>
    <row r="221" spans="1:7">
      <c r="A221" t="str">
        <f>Sheet1!A221</f>
        <v>C220</v>
      </c>
      <c r="B221" t="str">
        <f>Sheet1!B221</f>
        <v>Perez-Wilson</v>
      </c>
      <c r="C221">
        <f>Sheet1!R221</f>
        <v>79</v>
      </c>
      <c r="D221">
        <f>Sheet1!H221</f>
        <v>0.33</v>
      </c>
      <c r="E221">
        <f>Sheet1!P221</f>
        <v>80</v>
      </c>
      <c r="F221">
        <f>Sheet1!I221</f>
        <v>260001</v>
      </c>
      <c r="G221" t="str">
        <f t="shared" si="3"/>
        <v>Approved</v>
      </c>
    </row>
    <row r="222" spans="1:7">
      <c r="A222" t="str">
        <f>Sheet1!A222</f>
        <v>C221</v>
      </c>
      <c r="B222" t="str">
        <f>Sheet1!B222</f>
        <v>Harris, Gonzalez and Howell</v>
      </c>
      <c r="C222">
        <f>Sheet1!R222</f>
        <v>62</v>
      </c>
      <c r="D222">
        <f>Sheet1!H222</f>
        <v>0.62</v>
      </c>
      <c r="E222">
        <f>Sheet1!P222</f>
        <v>62</v>
      </c>
      <c r="F222">
        <f>Sheet1!I222</f>
        <v>967538</v>
      </c>
      <c r="G222" t="str">
        <f t="shared" si="3"/>
        <v>Manual Review</v>
      </c>
    </row>
    <row r="223" spans="1:7">
      <c r="A223" t="str">
        <f>Sheet1!A223</f>
        <v>C222</v>
      </c>
      <c r="B223" t="str">
        <f>Sheet1!B223</f>
        <v>Price Group</v>
      </c>
      <c r="C223">
        <f>Sheet1!R223</f>
        <v>63</v>
      </c>
      <c r="D223">
        <f>Sheet1!H223</f>
        <v>0.88</v>
      </c>
      <c r="E223">
        <f>Sheet1!P223</f>
        <v>98</v>
      </c>
      <c r="F223">
        <f>Sheet1!I223</f>
        <v>767134</v>
      </c>
      <c r="G223" t="str">
        <f t="shared" si="3"/>
        <v>Manual Review</v>
      </c>
    </row>
    <row r="224" spans="1:7">
      <c r="A224" t="str">
        <f>Sheet1!A224</f>
        <v>C223</v>
      </c>
      <c r="B224" t="str">
        <f>Sheet1!B224</f>
        <v>Miller-Guzman</v>
      </c>
      <c r="C224">
        <f>Sheet1!R224</f>
        <v>83</v>
      </c>
      <c r="D224">
        <f>Sheet1!H224</f>
        <v>0.23</v>
      </c>
      <c r="E224">
        <f>Sheet1!P224</f>
        <v>87</v>
      </c>
      <c r="F224">
        <f>Sheet1!I224</f>
        <v>711586</v>
      </c>
      <c r="G224" t="str">
        <f t="shared" si="3"/>
        <v>Approved</v>
      </c>
    </row>
    <row r="225" spans="1:7">
      <c r="A225" t="str">
        <f>Sheet1!A225</f>
        <v>C224</v>
      </c>
      <c r="B225" t="str">
        <f>Sheet1!B225</f>
        <v>Martinez-Buchanan</v>
      </c>
      <c r="C225">
        <f>Sheet1!R225</f>
        <v>67</v>
      </c>
      <c r="D225">
        <f>Sheet1!H225</f>
        <v>0.48</v>
      </c>
      <c r="E225">
        <f>Sheet1!P225</f>
        <v>61</v>
      </c>
      <c r="F225">
        <f>Sheet1!I225</f>
        <v>239185</v>
      </c>
      <c r="G225" t="str">
        <f t="shared" si="3"/>
        <v>Manual Review</v>
      </c>
    </row>
    <row r="226" spans="1:7">
      <c r="A226" t="str">
        <f>Sheet1!A226</f>
        <v>C225</v>
      </c>
      <c r="B226" t="str">
        <f>Sheet1!B226</f>
        <v>Sullivan-Cruz</v>
      </c>
      <c r="C226">
        <f>Sheet1!R226</f>
        <v>83</v>
      </c>
      <c r="D226">
        <f>Sheet1!H226</f>
        <v>0.2</v>
      </c>
      <c r="E226">
        <f>Sheet1!P226</f>
        <v>98</v>
      </c>
      <c r="F226">
        <f>Sheet1!I226</f>
        <v>-22652</v>
      </c>
      <c r="G226" t="str">
        <f t="shared" si="3"/>
        <v>Approved</v>
      </c>
    </row>
    <row r="227" spans="1:7">
      <c r="A227" t="str">
        <f>Sheet1!A227</f>
        <v>C226</v>
      </c>
      <c r="B227" t="str">
        <f>Sheet1!B227</f>
        <v>Whitney, Rice and Flores</v>
      </c>
      <c r="C227">
        <f>Sheet1!R227</f>
        <v>49</v>
      </c>
      <c r="D227">
        <f>Sheet1!H227</f>
        <v>0.76</v>
      </c>
      <c r="E227">
        <f>Sheet1!P227</f>
        <v>62</v>
      </c>
      <c r="F227">
        <f>Sheet1!I227</f>
        <v>182131</v>
      </c>
      <c r="G227" t="str">
        <f t="shared" si="3"/>
        <v>Rejected</v>
      </c>
    </row>
    <row r="228" spans="1:7">
      <c r="A228" t="str">
        <f>Sheet1!A228</f>
        <v>C227</v>
      </c>
      <c r="B228" t="str">
        <f>Sheet1!B228</f>
        <v>Alexander, Gonzalez and Smith</v>
      </c>
      <c r="C228">
        <f>Sheet1!R228</f>
        <v>64</v>
      </c>
      <c r="D228">
        <f>Sheet1!H228</f>
        <v>0.75</v>
      </c>
      <c r="E228">
        <f>Sheet1!P228</f>
        <v>77</v>
      </c>
      <c r="F228">
        <f>Sheet1!I228</f>
        <v>-36958</v>
      </c>
      <c r="G228" t="str">
        <f t="shared" si="3"/>
        <v>Manual Review</v>
      </c>
    </row>
    <row r="229" spans="1:7">
      <c r="A229" t="str">
        <f>Sheet1!A229</f>
        <v>C228</v>
      </c>
      <c r="B229" t="str">
        <f>Sheet1!B229</f>
        <v>Bailey Group</v>
      </c>
      <c r="C229">
        <f>Sheet1!R229</f>
        <v>60</v>
      </c>
      <c r="D229">
        <f>Sheet1!H229</f>
        <v>1.02</v>
      </c>
      <c r="E229">
        <f>Sheet1!P229</f>
        <v>65</v>
      </c>
      <c r="F229">
        <f>Sheet1!I229</f>
        <v>440093</v>
      </c>
      <c r="G229" t="str">
        <f t="shared" si="3"/>
        <v>Manual Review</v>
      </c>
    </row>
    <row r="230" spans="1:7">
      <c r="A230" t="str">
        <f>Sheet1!A230</f>
        <v>C229</v>
      </c>
      <c r="B230" t="str">
        <f>Sheet1!B230</f>
        <v>Hunt Ltd</v>
      </c>
      <c r="C230">
        <f>Sheet1!R230</f>
        <v>68</v>
      </c>
      <c r="D230">
        <f>Sheet1!H230</f>
        <v>0.91</v>
      </c>
      <c r="E230">
        <f>Sheet1!P230</f>
        <v>89</v>
      </c>
      <c r="F230">
        <f>Sheet1!I230</f>
        <v>73664</v>
      </c>
      <c r="G230" t="str">
        <f t="shared" si="3"/>
        <v>Manual Review</v>
      </c>
    </row>
    <row r="231" spans="1:7">
      <c r="A231" t="str">
        <f>Sheet1!A231</f>
        <v>C230</v>
      </c>
      <c r="B231" t="str">
        <f>Sheet1!B231</f>
        <v>Beard-Barton</v>
      </c>
      <c r="C231">
        <f>Sheet1!R231</f>
        <v>64</v>
      </c>
      <c r="D231">
        <f>Sheet1!H231</f>
        <v>0.73</v>
      </c>
      <c r="E231">
        <f>Sheet1!P231</f>
        <v>96</v>
      </c>
      <c r="F231">
        <f>Sheet1!I231</f>
        <v>159279</v>
      </c>
      <c r="G231" t="str">
        <f t="shared" si="3"/>
        <v>Manual Review</v>
      </c>
    </row>
    <row r="232" spans="1:7">
      <c r="A232" t="str">
        <f>Sheet1!A232</f>
        <v>C231</v>
      </c>
      <c r="B232" t="str">
        <f>Sheet1!B232</f>
        <v>Castaneda-Johnson</v>
      </c>
      <c r="C232">
        <f>Sheet1!R232</f>
        <v>54</v>
      </c>
      <c r="D232">
        <f>Sheet1!H232</f>
        <v>0.47</v>
      </c>
      <c r="E232">
        <f>Sheet1!P232</f>
        <v>65</v>
      </c>
      <c r="F232">
        <f>Sheet1!I232</f>
        <v>547211</v>
      </c>
      <c r="G232" t="str">
        <f t="shared" si="3"/>
        <v>Manual Review</v>
      </c>
    </row>
    <row r="233" spans="1:7">
      <c r="A233" t="str">
        <f>Sheet1!A233</f>
        <v>C232</v>
      </c>
      <c r="B233" t="str">
        <f>Sheet1!B233</f>
        <v>White-Delacruz</v>
      </c>
      <c r="C233">
        <f>Sheet1!R233</f>
        <v>59</v>
      </c>
      <c r="D233">
        <f>Sheet1!H233</f>
        <v>0.28000000000000003</v>
      </c>
      <c r="E233">
        <f>Sheet1!P233</f>
        <v>64</v>
      </c>
      <c r="F233">
        <f>Sheet1!I233</f>
        <v>-40003</v>
      </c>
      <c r="G233" t="str">
        <f t="shared" si="3"/>
        <v>Manual Review</v>
      </c>
    </row>
    <row r="234" spans="1:7">
      <c r="A234" t="str">
        <f>Sheet1!A234</f>
        <v>C233</v>
      </c>
      <c r="B234" t="str">
        <f>Sheet1!B234</f>
        <v>Foster Ltd</v>
      </c>
      <c r="C234">
        <f>Sheet1!R234</f>
        <v>55</v>
      </c>
      <c r="D234">
        <f>Sheet1!H234</f>
        <v>0.85</v>
      </c>
      <c r="E234">
        <f>Sheet1!P234</f>
        <v>76</v>
      </c>
      <c r="F234">
        <f>Sheet1!I234</f>
        <v>639697</v>
      </c>
      <c r="G234" t="str">
        <f t="shared" si="3"/>
        <v>Manual Review</v>
      </c>
    </row>
    <row r="235" spans="1:7">
      <c r="A235" t="str">
        <f>Sheet1!A235</f>
        <v>C234</v>
      </c>
      <c r="B235" t="str">
        <f>Sheet1!B235</f>
        <v>Rice-Peterson</v>
      </c>
      <c r="C235">
        <f>Sheet1!R235</f>
        <v>86</v>
      </c>
      <c r="D235">
        <f>Sheet1!H235</f>
        <v>0.19</v>
      </c>
      <c r="E235">
        <f>Sheet1!P235</f>
        <v>93</v>
      </c>
      <c r="F235">
        <f>Sheet1!I235</f>
        <v>581514</v>
      </c>
      <c r="G235" t="str">
        <f t="shared" si="3"/>
        <v>Approved</v>
      </c>
    </row>
    <row r="236" spans="1:7">
      <c r="A236" t="str">
        <f>Sheet1!A236</f>
        <v>C235</v>
      </c>
      <c r="B236" t="str">
        <f>Sheet1!B236</f>
        <v>Arnold Ltd</v>
      </c>
      <c r="C236">
        <f>Sheet1!R236</f>
        <v>49</v>
      </c>
      <c r="D236">
        <f>Sheet1!H236</f>
        <v>0.97</v>
      </c>
      <c r="E236">
        <f>Sheet1!P236</f>
        <v>65</v>
      </c>
      <c r="F236">
        <f>Sheet1!I236</f>
        <v>180273</v>
      </c>
      <c r="G236" t="str">
        <f t="shared" si="3"/>
        <v>Rejected</v>
      </c>
    </row>
    <row r="237" spans="1:7">
      <c r="A237" t="str">
        <f>Sheet1!A237</f>
        <v>C236</v>
      </c>
      <c r="B237" t="str">
        <f>Sheet1!B237</f>
        <v>Simmons Ltd</v>
      </c>
      <c r="C237">
        <f>Sheet1!R237</f>
        <v>56</v>
      </c>
      <c r="D237">
        <f>Sheet1!H237</f>
        <v>0.56999999999999995</v>
      </c>
      <c r="E237">
        <f>Sheet1!P237</f>
        <v>84</v>
      </c>
      <c r="F237">
        <f>Sheet1!I237</f>
        <v>622802</v>
      </c>
      <c r="G237" t="str">
        <f t="shared" si="3"/>
        <v>Manual Review</v>
      </c>
    </row>
    <row r="238" spans="1:7">
      <c r="A238" t="str">
        <f>Sheet1!A238</f>
        <v>C237</v>
      </c>
      <c r="B238" t="str">
        <f>Sheet1!B238</f>
        <v>Green-Watson</v>
      </c>
      <c r="C238">
        <f>Sheet1!R238</f>
        <v>51</v>
      </c>
      <c r="D238">
        <f>Sheet1!H238</f>
        <v>0.62</v>
      </c>
      <c r="E238">
        <f>Sheet1!P238</f>
        <v>70</v>
      </c>
      <c r="F238">
        <f>Sheet1!I238</f>
        <v>137204</v>
      </c>
      <c r="G238" t="str">
        <f t="shared" si="3"/>
        <v>Manual Review</v>
      </c>
    </row>
    <row r="239" spans="1:7">
      <c r="A239" t="str">
        <f>Sheet1!A239</f>
        <v>C238</v>
      </c>
      <c r="B239" t="str">
        <f>Sheet1!B239</f>
        <v>Mercer, Fernandez and Harris</v>
      </c>
      <c r="C239">
        <f>Sheet1!R239</f>
        <v>58</v>
      </c>
      <c r="D239">
        <f>Sheet1!H239</f>
        <v>0.95</v>
      </c>
      <c r="E239">
        <f>Sheet1!P239</f>
        <v>73</v>
      </c>
      <c r="F239">
        <f>Sheet1!I239</f>
        <v>406309</v>
      </c>
      <c r="G239" t="str">
        <f t="shared" si="3"/>
        <v>Manual Review</v>
      </c>
    </row>
    <row r="240" spans="1:7">
      <c r="A240" t="str">
        <f>Sheet1!A240</f>
        <v>C239</v>
      </c>
      <c r="B240" t="str">
        <f>Sheet1!B240</f>
        <v>Jackson, Mendoza and Evans</v>
      </c>
      <c r="C240">
        <f>Sheet1!R240</f>
        <v>70</v>
      </c>
      <c r="D240">
        <f>Sheet1!H240</f>
        <v>0.36</v>
      </c>
      <c r="E240">
        <f>Sheet1!P240</f>
        <v>79</v>
      </c>
      <c r="F240">
        <f>Sheet1!I240</f>
        <v>706616</v>
      </c>
      <c r="G240" t="str">
        <f t="shared" si="3"/>
        <v>Approved</v>
      </c>
    </row>
    <row r="241" spans="1:7">
      <c r="A241" t="str">
        <f>Sheet1!A241</f>
        <v>C240</v>
      </c>
      <c r="B241" t="str">
        <f>Sheet1!B241</f>
        <v>Charles Inc</v>
      </c>
      <c r="C241">
        <f>Sheet1!R241</f>
        <v>70</v>
      </c>
      <c r="D241">
        <f>Sheet1!H241</f>
        <v>0.16</v>
      </c>
      <c r="E241">
        <f>Sheet1!P241</f>
        <v>97</v>
      </c>
      <c r="F241">
        <f>Sheet1!I241</f>
        <v>974703</v>
      </c>
      <c r="G241" t="str">
        <f t="shared" si="3"/>
        <v>Approved</v>
      </c>
    </row>
    <row r="242" spans="1:7">
      <c r="A242" t="str">
        <f>Sheet1!A242</f>
        <v>C241</v>
      </c>
      <c r="B242" t="str">
        <f>Sheet1!B242</f>
        <v>Richmond-Lee</v>
      </c>
      <c r="C242">
        <f>Sheet1!R242</f>
        <v>69</v>
      </c>
      <c r="D242">
        <f>Sheet1!H242</f>
        <v>0.33</v>
      </c>
      <c r="E242">
        <f>Sheet1!P242</f>
        <v>92</v>
      </c>
      <c r="F242">
        <f>Sheet1!I242</f>
        <v>899194</v>
      </c>
      <c r="G242" t="str">
        <f t="shared" si="3"/>
        <v>Manual Review</v>
      </c>
    </row>
    <row r="243" spans="1:7">
      <c r="A243" t="str">
        <f>Sheet1!A243</f>
        <v>C242</v>
      </c>
      <c r="B243" t="str">
        <f>Sheet1!B243</f>
        <v>Howard Ltd</v>
      </c>
      <c r="C243">
        <f>Sheet1!R243</f>
        <v>76</v>
      </c>
      <c r="D243">
        <f>Sheet1!H243</f>
        <v>0.21</v>
      </c>
      <c r="E243">
        <f>Sheet1!P243</f>
        <v>76</v>
      </c>
      <c r="F243">
        <f>Sheet1!I243</f>
        <v>668818</v>
      </c>
      <c r="G243" t="str">
        <f t="shared" si="3"/>
        <v>Approved</v>
      </c>
    </row>
    <row r="244" spans="1:7">
      <c r="A244" t="str">
        <f>Sheet1!A244</f>
        <v>C243</v>
      </c>
      <c r="B244" t="str">
        <f>Sheet1!B244</f>
        <v>Vega, Santos and Johnson</v>
      </c>
      <c r="C244">
        <f>Sheet1!R244</f>
        <v>61</v>
      </c>
      <c r="D244">
        <f>Sheet1!H244</f>
        <v>0.34</v>
      </c>
      <c r="E244">
        <f>Sheet1!P244</f>
        <v>76</v>
      </c>
      <c r="F244">
        <f>Sheet1!I244</f>
        <v>731149</v>
      </c>
      <c r="G244" t="str">
        <f t="shared" si="3"/>
        <v>Manual Review</v>
      </c>
    </row>
    <row r="245" spans="1:7">
      <c r="A245" t="str">
        <f>Sheet1!A245</f>
        <v>C244</v>
      </c>
      <c r="B245" t="str">
        <f>Sheet1!B245</f>
        <v>Blair-Velazquez</v>
      </c>
      <c r="C245">
        <f>Sheet1!R245</f>
        <v>56</v>
      </c>
      <c r="D245">
        <f>Sheet1!H245</f>
        <v>0.45</v>
      </c>
      <c r="E245">
        <f>Sheet1!P245</f>
        <v>73</v>
      </c>
      <c r="F245">
        <f>Sheet1!I245</f>
        <v>432747</v>
      </c>
      <c r="G245" t="str">
        <f t="shared" si="3"/>
        <v>Manual Review</v>
      </c>
    </row>
    <row r="246" spans="1:7">
      <c r="A246" t="str">
        <f>Sheet1!A246</f>
        <v>C245</v>
      </c>
      <c r="B246" t="str">
        <f>Sheet1!B246</f>
        <v>Ross Ltd</v>
      </c>
      <c r="C246">
        <f>Sheet1!R246</f>
        <v>81</v>
      </c>
      <c r="D246">
        <f>Sheet1!H246</f>
        <v>0.19</v>
      </c>
      <c r="E246">
        <f>Sheet1!P246</f>
        <v>84</v>
      </c>
      <c r="F246">
        <f>Sheet1!I246</f>
        <v>54189</v>
      </c>
      <c r="G246" t="str">
        <f t="shared" si="3"/>
        <v>Approved</v>
      </c>
    </row>
    <row r="247" spans="1:7">
      <c r="A247" t="str">
        <f>Sheet1!A247</f>
        <v>C246</v>
      </c>
      <c r="B247" t="str">
        <f>Sheet1!B247</f>
        <v>Riley-Snow</v>
      </c>
      <c r="C247">
        <f>Sheet1!R247</f>
        <v>74</v>
      </c>
      <c r="D247">
        <f>Sheet1!H247</f>
        <v>0.68</v>
      </c>
      <c r="E247">
        <f>Sheet1!P247</f>
        <v>99</v>
      </c>
      <c r="F247">
        <f>Sheet1!I247</f>
        <v>364645</v>
      </c>
      <c r="G247" t="str">
        <f t="shared" si="3"/>
        <v>Approved</v>
      </c>
    </row>
    <row r="248" spans="1:7">
      <c r="A248" t="str">
        <f>Sheet1!A248</f>
        <v>C247</v>
      </c>
      <c r="B248" t="str">
        <f>Sheet1!B248</f>
        <v>Scott LLC</v>
      </c>
      <c r="C248">
        <f>Sheet1!R248</f>
        <v>45</v>
      </c>
      <c r="D248">
        <f>Sheet1!H248</f>
        <v>1.06</v>
      </c>
      <c r="E248">
        <f>Sheet1!P248</f>
        <v>68</v>
      </c>
      <c r="F248">
        <f>Sheet1!I248</f>
        <v>-14668</v>
      </c>
      <c r="G248" t="str">
        <f t="shared" si="3"/>
        <v>Rejected</v>
      </c>
    </row>
    <row r="249" spans="1:7">
      <c r="A249" t="str">
        <f>Sheet1!A249</f>
        <v>C248</v>
      </c>
      <c r="B249" t="str">
        <f>Sheet1!B249</f>
        <v>Medina LLC</v>
      </c>
      <c r="C249">
        <f>Sheet1!R249</f>
        <v>67</v>
      </c>
      <c r="D249">
        <f>Sheet1!H249</f>
        <v>0.48</v>
      </c>
      <c r="E249">
        <f>Sheet1!P249</f>
        <v>64</v>
      </c>
      <c r="F249">
        <f>Sheet1!I249</f>
        <v>997678</v>
      </c>
      <c r="G249" t="str">
        <f t="shared" si="3"/>
        <v>Manual Review</v>
      </c>
    </row>
    <row r="250" spans="1:7">
      <c r="A250" t="str">
        <f>Sheet1!A250</f>
        <v>C249</v>
      </c>
      <c r="B250" t="str">
        <f>Sheet1!B250</f>
        <v>Stewart-Gordon</v>
      </c>
      <c r="C250">
        <f>Sheet1!R250</f>
        <v>65</v>
      </c>
      <c r="D250">
        <f>Sheet1!H250</f>
        <v>0.98</v>
      </c>
      <c r="E250">
        <f>Sheet1!P250</f>
        <v>100</v>
      </c>
      <c r="F250">
        <f>Sheet1!I250</f>
        <v>546621</v>
      </c>
      <c r="G250" t="str">
        <f t="shared" si="3"/>
        <v>Manual Review</v>
      </c>
    </row>
    <row r="251" spans="1:7">
      <c r="A251" t="str">
        <f>Sheet1!A251</f>
        <v>C250</v>
      </c>
      <c r="B251" t="str">
        <f>Sheet1!B251</f>
        <v>Johnson-Weeks</v>
      </c>
      <c r="C251">
        <f>Sheet1!R251</f>
        <v>72</v>
      </c>
      <c r="D251">
        <f>Sheet1!H251</f>
        <v>0.4</v>
      </c>
      <c r="E251">
        <f>Sheet1!P251</f>
        <v>93</v>
      </c>
      <c r="F251">
        <f>Sheet1!I251</f>
        <v>504261</v>
      </c>
      <c r="G251" t="str">
        <f t="shared" si="3"/>
        <v>Approved</v>
      </c>
    </row>
    <row r="252" spans="1:7">
      <c r="A252" t="str">
        <f>Sheet1!A252</f>
        <v>C251</v>
      </c>
      <c r="B252" t="str">
        <f>Sheet1!B252</f>
        <v>Burke Inc</v>
      </c>
      <c r="C252">
        <f>Sheet1!R252</f>
        <v>67</v>
      </c>
      <c r="D252">
        <f>Sheet1!H252</f>
        <v>0.17</v>
      </c>
      <c r="E252">
        <f>Sheet1!P252</f>
        <v>60</v>
      </c>
      <c r="F252">
        <f>Sheet1!I252</f>
        <v>320405</v>
      </c>
      <c r="G252" t="str">
        <f t="shared" si="3"/>
        <v>Manual Review</v>
      </c>
    </row>
    <row r="253" spans="1:7">
      <c r="A253" t="str">
        <f>Sheet1!A253</f>
        <v>C252</v>
      </c>
      <c r="B253" t="str">
        <f>Sheet1!B253</f>
        <v>Gay, Martin and Morgan</v>
      </c>
      <c r="C253">
        <f>Sheet1!R253</f>
        <v>65</v>
      </c>
      <c r="D253">
        <f>Sheet1!H253</f>
        <v>0.7</v>
      </c>
      <c r="E253">
        <f>Sheet1!P253</f>
        <v>94</v>
      </c>
      <c r="F253">
        <f>Sheet1!I253</f>
        <v>515527</v>
      </c>
      <c r="G253" t="str">
        <f t="shared" si="3"/>
        <v>Manual Review</v>
      </c>
    </row>
    <row r="254" spans="1:7">
      <c r="A254" t="str">
        <f>Sheet1!A254</f>
        <v>C253</v>
      </c>
      <c r="B254" t="str">
        <f>Sheet1!B254</f>
        <v>Diaz, Wilson and Buckley</v>
      </c>
      <c r="C254">
        <f>Sheet1!R254</f>
        <v>77</v>
      </c>
      <c r="D254">
        <f>Sheet1!H254</f>
        <v>0.17</v>
      </c>
      <c r="E254">
        <f>Sheet1!P254</f>
        <v>82</v>
      </c>
      <c r="F254">
        <f>Sheet1!I254</f>
        <v>851736</v>
      </c>
      <c r="G254" t="str">
        <f t="shared" si="3"/>
        <v>Approved</v>
      </c>
    </row>
    <row r="255" spans="1:7">
      <c r="A255" t="str">
        <f>Sheet1!A255</f>
        <v>C254</v>
      </c>
      <c r="B255" t="str">
        <f>Sheet1!B255</f>
        <v>Arnold and Sons</v>
      </c>
      <c r="C255">
        <f>Sheet1!R255</f>
        <v>72</v>
      </c>
      <c r="D255">
        <f>Sheet1!H255</f>
        <v>0.56999999999999995</v>
      </c>
      <c r="E255">
        <f>Sheet1!P255</f>
        <v>90</v>
      </c>
      <c r="F255">
        <f>Sheet1!I255</f>
        <v>701650</v>
      </c>
      <c r="G255" t="str">
        <f t="shared" si="3"/>
        <v>Approved</v>
      </c>
    </row>
    <row r="256" spans="1:7">
      <c r="A256" t="str">
        <f>Sheet1!A256</f>
        <v>C255</v>
      </c>
      <c r="B256" t="str">
        <f>Sheet1!B256</f>
        <v>Carpenter-Watts</v>
      </c>
      <c r="C256">
        <f>Sheet1!R256</f>
        <v>64</v>
      </c>
      <c r="D256">
        <f>Sheet1!H256</f>
        <v>0.94</v>
      </c>
      <c r="E256">
        <f>Sheet1!P256</f>
        <v>69</v>
      </c>
      <c r="F256">
        <f>Sheet1!I256</f>
        <v>650892</v>
      </c>
      <c r="G256" t="str">
        <f t="shared" si="3"/>
        <v>Manual Review</v>
      </c>
    </row>
    <row r="257" spans="1:7">
      <c r="A257" t="str">
        <f>Sheet1!A257</f>
        <v>C256</v>
      </c>
      <c r="B257" t="str">
        <f>Sheet1!B257</f>
        <v>Davis LLC</v>
      </c>
      <c r="C257">
        <f>Sheet1!R257</f>
        <v>67</v>
      </c>
      <c r="D257">
        <f>Sheet1!H257</f>
        <v>0.3</v>
      </c>
      <c r="E257">
        <f>Sheet1!P257</f>
        <v>61</v>
      </c>
      <c r="F257">
        <f>Sheet1!I257</f>
        <v>417871</v>
      </c>
      <c r="G257" t="str">
        <f t="shared" si="3"/>
        <v>Manual Review</v>
      </c>
    </row>
    <row r="258" spans="1:7">
      <c r="A258" t="str">
        <f>Sheet1!A258</f>
        <v>C257</v>
      </c>
      <c r="B258" t="str">
        <f>Sheet1!B258</f>
        <v>Ortiz, Wood and Cox</v>
      </c>
      <c r="C258">
        <f>Sheet1!R258</f>
        <v>50</v>
      </c>
      <c r="D258">
        <f>Sheet1!H258</f>
        <v>0.71</v>
      </c>
      <c r="E258">
        <f>Sheet1!P258</f>
        <v>63</v>
      </c>
      <c r="F258">
        <f>Sheet1!I258</f>
        <v>464018</v>
      </c>
      <c r="G258" t="str">
        <f t="shared" ref="G258:G321" si="4">IF(AND(C258&gt;=70,D258&lt;=1,E258&gt;=60),"Approved",IF(OR(C258&lt;50,D258&gt;2),"Rejected","Manual Review"))</f>
        <v>Manual Review</v>
      </c>
    </row>
    <row r="259" spans="1:7">
      <c r="A259" t="str">
        <f>Sheet1!A259</f>
        <v>C258</v>
      </c>
      <c r="B259" t="str">
        <f>Sheet1!B259</f>
        <v>Thomas, Freeman and Mendoza</v>
      </c>
      <c r="C259">
        <f>Sheet1!R259</f>
        <v>69</v>
      </c>
      <c r="D259">
        <f>Sheet1!H259</f>
        <v>0.25</v>
      </c>
      <c r="E259">
        <f>Sheet1!P259</f>
        <v>84</v>
      </c>
      <c r="F259">
        <f>Sheet1!I259</f>
        <v>13052</v>
      </c>
      <c r="G259" t="str">
        <f t="shared" si="4"/>
        <v>Manual Review</v>
      </c>
    </row>
    <row r="260" spans="1:7">
      <c r="A260" t="str">
        <f>Sheet1!A260</f>
        <v>C259</v>
      </c>
      <c r="B260" t="str">
        <f>Sheet1!B260</f>
        <v>Jensen-Cherry</v>
      </c>
      <c r="C260">
        <f>Sheet1!R260</f>
        <v>48</v>
      </c>
      <c r="D260">
        <f>Sheet1!H260</f>
        <v>1.1599999999999999</v>
      </c>
      <c r="E260">
        <f>Sheet1!P260</f>
        <v>93</v>
      </c>
      <c r="F260">
        <f>Sheet1!I260</f>
        <v>681714</v>
      </c>
      <c r="G260" t="str">
        <f t="shared" si="4"/>
        <v>Rejected</v>
      </c>
    </row>
    <row r="261" spans="1:7">
      <c r="A261" t="str">
        <f>Sheet1!A261</f>
        <v>C260</v>
      </c>
      <c r="B261" t="str">
        <f>Sheet1!B261</f>
        <v>Stephenson Group</v>
      </c>
      <c r="C261">
        <f>Sheet1!R261</f>
        <v>69</v>
      </c>
      <c r="D261">
        <f>Sheet1!H261</f>
        <v>0.83</v>
      </c>
      <c r="E261">
        <f>Sheet1!P261</f>
        <v>98</v>
      </c>
      <c r="F261">
        <f>Sheet1!I261</f>
        <v>157140</v>
      </c>
      <c r="G261" t="str">
        <f t="shared" si="4"/>
        <v>Manual Review</v>
      </c>
    </row>
    <row r="262" spans="1:7">
      <c r="A262" t="str">
        <f>Sheet1!A262</f>
        <v>C261</v>
      </c>
      <c r="B262" t="str">
        <f>Sheet1!B262</f>
        <v>Hawkins Ltd</v>
      </c>
      <c r="C262">
        <f>Sheet1!R262</f>
        <v>75</v>
      </c>
      <c r="D262">
        <f>Sheet1!H262</f>
        <v>0.43</v>
      </c>
      <c r="E262">
        <f>Sheet1!P262</f>
        <v>90</v>
      </c>
      <c r="F262">
        <f>Sheet1!I262</f>
        <v>28453</v>
      </c>
      <c r="G262" t="str">
        <f t="shared" si="4"/>
        <v>Approved</v>
      </c>
    </row>
    <row r="263" spans="1:7">
      <c r="A263" t="str">
        <f>Sheet1!A263</f>
        <v>C262</v>
      </c>
      <c r="B263" t="str">
        <f>Sheet1!B263</f>
        <v>Love, Page and Garcia</v>
      </c>
      <c r="C263">
        <f>Sheet1!R263</f>
        <v>69</v>
      </c>
      <c r="D263">
        <f>Sheet1!H263</f>
        <v>0.25</v>
      </c>
      <c r="E263">
        <f>Sheet1!P263</f>
        <v>86</v>
      </c>
      <c r="F263">
        <f>Sheet1!I263</f>
        <v>940257</v>
      </c>
      <c r="G263" t="str">
        <f t="shared" si="4"/>
        <v>Manual Review</v>
      </c>
    </row>
    <row r="264" spans="1:7">
      <c r="A264" t="str">
        <f>Sheet1!A264</f>
        <v>C263</v>
      </c>
      <c r="B264" t="str">
        <f>Sheet1!B264</f>
        <v>Gonzalez Group</v>
      </c>
      <c r="C264">
        <f>Sheet1!R264</f>
        <v>54</v>
      </c>
      <c r="D264">
        <f>Sheet1!H264</f>
        <v>1.02</v>
      </c>
      <c r="E264">
        <f>Sheet1!P264</f>
        <v>65</v>
      </c>
      <c r="F264">
        <f>Sheet1!I264</f>
        <v>424926</v>
      </c>
      <c r="G264" t="str">
        <f t="shared" si="4"/>
        <v>Manual Review</v>
      </c>
    </row>
    <row r="265" spans="1:7">
      <c r="A265" t="str">
        <f>Sheet1!A265</f>
        <v>C264</v>
      </c>
      <c r="B265" t="str">
        <f>Sheet1!B265</f>
        <v>Estes, Carter and Garcia</v>
      </c>
      <c r="C265">
        <f>Sheet1!R265</f>
        <v>43</v>
      </c>
      <c r="D265">
        <f>Sheet1!H265</f>
        <v>1.18</v>
      </c>
      <c r="E265">
        <f>Sheet1!P265</f>
        <v>68</v>
      </c>
      <c r="F265">
        <f>Sheet1!I265</f>
        <v>777874</v>
      </c>
      <c r="G265" t="str">
        <f t="shared" si="4"/>
        <v>Rejected</v>
      </c>
    </row>
    <row r="266" spans="1:7">
      <c r="A266" t="str">
        <f>Sheet1!A266</f>
        <v>C265</v>
      </c>
      <c r="B266" t="str">
        <f>Sheet1!B266</f>
        <v>Ingram, Morales and Gilbert</v>
      </c>
      <c r="C266">
        <f>Sheet1!R266</f>
        <v>53</v>
      </c>
      <c r="D266">
        <f>Sheet1!H266</f>
        <v>0.91</v>
      </c>
      <c r="E266">
        <f>Sheet1!P266</f>
        <v>81</v>
      </c>
      <c r="F266">
        <f>Sheet1!I266</f>
        <v>419061</v>
      </c>
      <c r="G266" t="str">
        <f t="shared" si="4"/>
        <v>Manual Review</v>
      </c>
    </row>
    <row r="267" spans="1:7">
      <c r="A267" t="str">
        <f>Sheet1!A267</f>
        <v>C266</v>
      </c>
      <c r="B267" t="str">
        <f>Sheet1!B267</f>
        <v>Butler-Russell</v>
      </c>
      <c r="C267">
        <f>Sheet1!R267</f>
        <v>80</v>
      </c>
      <c r="D267">
        <f>Sheet1!H267</f>
        <v>0.17</v>
      </c>
      <c r="E267">
        <f>Sheet1!P267</f>
        <v>86</v>
      </c>
      <c r="F267">
        <f>Sheet1!I267</f>
        <v>560435</v>
      </c>
      <c r="G267" t="str">
        <f t="shared" si="4"/>
        <v>Approved</v>
      </c>
    </row>
    <row r="268" spans="1:7">
      <c r="A268" t="str">
        <f>Sheet1!A268</f>
        <v>C267</v>
      </c>
      <c r="B268" t="str">
        <f>Sheet1!B268</f>
        <v>Rice, Richardson and Holland</v>
      </c>
      <c r="C268">
        <f>Sheet1!R268</f>
        <v>55</v>
      </c>
      <c r="D268">
        <f>Sheet1!H268</f>
        <v>0.66</v>
      </c>
      <c r="E268">
        <f>Sheet1!P268</f>
        <v>87</v>
      </c>
      <c r="F268">
        <f>Sheet1!I268</f>
        <v>104149</v>
      </c>
      <c r="G268" t="str">
        <f t="shared" si="4"/>
        <v>Manual Review</v>
      </c>
    </row>
    <row r="269" spans="1:7">
      <c r="A269" t="str">
        <f>Sheet1!A269</f>
        <v>C268</v>
      </c>
      <c r="B269" t="str">
        <f>Sheet1!B269</f>
        <v>Carr-Carr</v>
      </c>
      <c r="C269">
        <f>Sheet1!R269</f>
        <v>66</v>
      </c>
      <c r="D269">
        <f>Sheet1!H269</f>
        <v>0.95</v>
      </c>
      <c r="E269">
        <f>Sheet1!P269</f>
        <v>96</v>
      </c>
      <c r="F269">
        <f>Sheet1!I269</f>
        <v>541716</v>
      </c>
      <c r="G269" t="str">
        <f t="shared" si="4"/>
        <v>Manual Review</v>
      </c>
    </row>
    <row r="270" spans="1:7">
      <c r="A270" t="str">
        <f>Sheet1!A270</f>
        <v>C269</v>
      </c>
      <c r="B270" t="str">
        <f>Sheet1!B270</f>
        <v>Garcia-Davis</v>
      </c>
      <c r="C270">
        <f>Sheet1!R270</f>
        <v>51</v>
      </c>
      <c r="D270">
        <f>Sheet1!H270</f>
        <v>1.1399999999999999</v>
      </c>
      <c r="E270">
        <f>Sheet1!P270</f>
        <v>87</v>
      </c>
      <c r="F270">
        <f>Sheet1!I270</f>
        <v>238820</v>
      </c>
      <c r="G270" t="str">
        <f t="shared" si="4"/>
        <v>Manual Review</v>
      </c>
    </row>
    <row r="271" spans="1:7">
      <c r="A271" t="str">
        <f>Sheet1!A271</f>
        <v>C270</v>
      </c>
      <c r="B271" t="str">
        <f>Sheet1!B271</f>
        <v>Woodward Inc</v>
      </c>
      <c r="C271">
        <f>Sheet1!R271</f>
        <v>61</v>
      </c>
      <c r="D271">
        <f>Sheet1!H271</f>
        <v>0.28000000000000003</v>
      </c>
      <c r="E271">
        <f>Sheet1!P271</f>
        <v>60</v>
      </c>
      <c r="F271">
        <f>Sheet1!I271</f>
        <v>89072</v>
      </c>
      <c r="G271" t="str">
        <f t="shared" si="4"/>
        <v>Manual Review</v>
      </c>
    </row>
    <row r="272" spans="1:7">
      <c r="A272" t="str">
        <f>Sheet1!A272</f>
        <v>C271</v>
      </c>
      <c r="B272" t="str">
        <f>Sheet1!B272</f>
        <v>Hood-Carroll</v>
      </c>
      <c r="C272">
        <f>Sheet1!R272</f>
        <v>62</v>
      </c>
      <c r="D272">
        <f>Sheet1!H272</f>
        <v>0.59</v>
      </c>
      <c r="E272">
        <f>Sheet1!P272</f>
        <v>93</v>
      </c>
      <c r="F272">
        <f>Sheet1!I272</f>
        <v>-67176</v>
      </c>
      <c r="G272" t="str">
        <f t="shared" si="4"/>
        <v>Manual Review</v>
      </c>
    </row>
    <row r="273" spans="1:7">
      <c r="A273" t="str">
        <f>Sheet1!A273</f>
        <v>C272</v>
      </c>
      <c r="B273" t="str">
        <f>Sheet1!B273</f>
        <v>Spears, Jacobs and Allen</v>
      </c>
      <c r="C273">
        <f>Sheet1!R273</f>
        <v>79</v>
      </c>
      <c r="D273">
        <f>Sheet1!H273</f>
        <v>0.12</v>
      </c>
      <c r="E273">
        <f>Sheet1!P273</f>
        <v>76</v>
      </c>
      <c r="F273">
        <f>Sheet1!I273</f>
        <v>448992</v>
      </c>
      <c r="G273" t="str">
        <f t="shared" si="4"/>
        <v>Approved</v>
      </c>
    </row>
    <row r="274" spans="1:7">
      <c r="A274" t="str">
        <f>Sheet1!A274</f>
        <v>C273</v>
      </c>
      <c r="B274" t="str">
        <f>Sheet1!B274</f>
        <v>Hudson PLC</v>
      </c>
      <c r="C274">
        <f>Sheet1!R274</f>
        <v>68</v>
      </c>
      <c r="D274">
        <f>Sheet1!H274</f>
        <v>0.28999999999999998</v>
      </c>
      <c r="E274">
        <f>Sheet1!P274</f>
        <v>83</v>
      </c>
      <c r="F274">
        <f>Sheet1!I274</f>
        <v>37092</v>
      </c>
      <c r="G274" t="str">
        <f t="shared" si="4"/>
        <v>Manual Review</v>
      </c>
    </row>
    <row r="275" spans="1:7">
      <c r="A275" t="str">
        <f>Sheet1!A275</f>
        <v>C274</v>
      </c>
      <c r="B275" t="str">
        <f>Sheet1!B275</f>
        <v>Bennett LLC</v>
      </c>
      <c r="C275">
        <f>Sheet1!R275</f>
        <v>59</v>
      </c>
      <c r="D275">
        <f>Sheet1!H275</f>
        <v>0.83</v>
      </c>
      <c r="E275">
        <f>Sheet1!P275</f>
        <v>88</v>
      </c>
      <c r="F275">
        <f>Sheet1!I275</f>
        <v>296777</v>
      </c>
      <c r="G275" t="str">
        <f t="shared" si="4"/>
        <v>Manual Review</v>
      </c>
    </row>
    <row r="276" spans="1:7">
      <c r="A276" t="str">
        <f>Sheet1!A276</f>
        <v>C275</v>
      </c>
      <c r="B276" t="str">
        <f>Sheet1!B276</f>
        <v>Nichols, Orr and Rosario</v>
      </c>
      <c r="C276">
        <f>Sheet1!R276</f>
        <v>87</v>
      </c>
      <c r="D276">
        <f>Sheet1!H276</f>
        <v>0.16</v>
      </c>
      <c r="E276">
        <f>Sheet1!P276</f>
        <v>99</v>
      </c>
      <c r="F276">
        <f>Sheet1!I276</f>
        <v>776414</v>
      </c>
      <c r="G276" t="str">
        <f t="shared" si="4"/>
        <v>Approved</v>
      </c>
    </row>
    <row r="277" spans="1:7">
      <c r="A277" t="str">
        <f>Sheet1!A277</f>
        <v>C276</v>
      </c>
      <c r="B277" t="str">
        <f>Sheet1!B277</f>
        <v>Peterson LLC</v>
      </c>
      <c r="C277">
        <f>Sheet1!R277</f>
        <v>56</v>
      </c>
      <c r="D277">
        <f>Sheet1!H277</f>
        <v>1.2</v>
      </c>
      <c r="E277">
        <f>Sheet1!P277</f>
        <v>60</v>
      </c>
      <c r="F277">
        <f>Sheet1!I277</f>
        <v>-49492</v>
      </c>
      <c r="G277" t="str">
        <f t="shared" si="4"/>
        <v>Manual Review</v>
      </c>
    </row>
    <row r="278" spans="1:7">
      <c r="A278" t="str">
        <f>Sheet1!A278</f>
        <v>C277</v>
      </c>
      <c r="B278" t="str">
        <f>Sheet1!B278</f>
        <v>Pollard-Cisneros</v>
      </c>
      <c r="C278">
        <f>Sheet1!R278</f>
        <v>64</v>
      </c>
      <c r="D278">
        <f>Sheet1!H278</f>
        <v>0.87</v>
      </c>
      <c r="E278">
        <f>Sheet1!P278</f>
        <v>72</v>
      </c>
      <c r="F278">
        <f>Sheet1!I278</f>
        <v>152022</v>
      </c>
      <c r="G278" t="str">
        <f t="shared" si="4"/>
        <v>Manual Review</v>
      </c>
    </row>
    <row r="279" spans="1:7">
      <c r="A279" t="str">
        <f>Sheet1!A279</f>
        <v>C278</v>
      </c>
      <c r="B279" t="str">
        <f>Sheet1!B279</f>
        <v>Davidson PLC</v>
      </c>
      <c r="C279">
        <f>Sheet1!R279</f>
        <v>75</v>
      </c>
      <c r="D279">
        <f>Sheet1!H279</f>
        <v>0.17</v>
      </c>
      <c r="E279">
        <f>Sheet1!P279</f>
        <v>66</v>
      </c>
      <c r="F279">
        <f>Sheet1!I279</f>
        <v>866552</v>
      </c>
      <c r="G279" t="str">
        <f t="shared" si="4"/>
        <v>Approved</v>
      </c>
    </row>
    <row r="280" spans="1:7">
      <c r="A280" t="str">
        <f>Sheet1!A280</f>
        <v>C279</v>
      </c>
      <c r="B280" t="str">
        <f>Sheet1!B280</f>
        <v>Erickson-Dean</v>
      </c>
      <c r="C280">
        <f>Sheet1!R280</f>
        <v>75</v>
      </c>
      <c r="D280">
        <f>Sheet1!H280</f>
        <v>0.35</v>
      </c>
      <c r="E280">
        <f>Sheet1!P280</f>
        <v>70</v>
      </c>
      <c r="F280">
        <f>Sheet1!I280</f>
        <v>646738</v>
      </c>
      <c r="G280" t="str">
        <f t="shared" si="4"/>
        <v>Approved</v>
      </c>
    </row>
    <row r="281" spans="1:7">
      <c r="A281" t="str">
        <f>Sheet1!A281</f>
        <v>C280</v>
      </c>
      <c r="B281" t="str">
        <f>Sheet1!B281</f>
        <v>Wade, Walker and Baldwin</v>
      </c>
      <c r="C281">
        <f>Sheet1!R281</f>
        <v>55</v>
      </c>
      <c r="D281">
        <f>Sheet1!H281</f>
        <v>0.71</v>
      </c>
      <c r="E281">
        <f>Sheet1!P281</f>
        <v>80</v>
      </c>
      <c r="F281">
        <f>Sheet1!I281</f>
        <v>436689</v>
      </c>
      <c r="G281" t="str">
        <f t="shared" si="4"/>
        <v>Manual Review</v>
      </c>
    </row>
    <row r="282" spans="1:7">
      <c r="A282" t="str">
        <f>Sheet1!A282</f>
        <v>C281</v>
      </c>
      <c r="B282" t="str">
        <f>Sheet1!B282</f>
        <v>Bush, Nguyen and Gamble</v>
      </c>
      <c r="C282">
        <f>Sheet1!R282</f>
        <v>59</v>
      </c>
      <c r="D282">
        <f>Sheet1!H282</f>
        <v>1.0900000000000001</v>
      </c>
      <c r="E282">
        <f>Sheet1!P282</f>
        <v>77</v>
      </c>
      <c r="F282">
        <f>Sheet1!I282</f>
        <v>312802</v>
      </c>
      <c r="G282" t="str">
        <f t="shared" si="4"/>
        <v>Manual Review</v>
      </c>
    </row>
    <row r="283" spans="1:7">
      <c r="A283" t="str">
        <f>Sheet1!A283</f>
        <v>C282</v>
      </c>
      <c r="B283" t="str">
        <f>Sheet1!B283</f>
        <v>Hansen and Sons</v>
      </c>
      <c r="C283">
        <f>Sheet1!R283</f>
        <v>63</v>
      </c>
      <c r="D283">
        <f>Sheet1!H283</f>
        <v>0.6</v>
      </c>
      <c r="E283">
        <f>Sheet1!P283</f>
        <v>89</v>
      </c>
      <c r="F283">
        <f>Sheet1!I283</f>
        <v>775326</v>
      </c>
      <c r="G283" t="str">
        <f t="shared" si="4"/>
        <v>Manual Review</v>
      </c>
    </row>
    <row r="284" spans="1:7">
      <c r="A284" t="str">
        <f>Sheet1!A284</f>
        <v>C283</v>
      </c>
      <c r="B284" t="str">
        <f>Sheet1!B284</f>
        <v>Wallace-Lewis</v>
      </c>
      <c r="C284">
        <f>Sheet1!R284</f>
        <v>58</v>
      </c>
      <c r="D284">
        <f>Sheet1!H284</f>
        <v>0.72</v>
      </c>
      <c r="E284">
        <f>Sheet1!P284</f>
        <v>75</v>
      </c>
      <c r="F284">
        <f>Sheet1!I284</f>
        <v>468354</v>
      </c>
      <c r="G284" t="str">
        <f t="shared" si="4"/>
        <v>Manual Review</v>
      </c>
    </row>
    <row r="285" spans="1:7">
      <c r="A285" t="str">
        <f>Sheet1!A285</f>
        <v>C284</v>
      </c>
      <c r="B285" t="str">
        <f>Sheet1!B285</f>
        <v>House, Lara and Rogers</v>
      </c>
      <c r="C285">
        <f>Sheet1!R285</f>
        <v>77</v>
      </c>
      <c r="D285">
        <f>Sheet1!H285</f>
        <v>0.3</v>
      </c>
      <c r="E285">
        <f>Sheet1!P285</f>
        <v>91</v>
      </c>
      <c r="F285">
        <f>Sheet1!I285</f>
        <v>835172</v>
      </c>
      <c r="G285" t="str">
        <f t="shared" si="4"/>
        <v>Approved</v>
      </c>
    </row>
    <row r="286" spans="1:7">
      <c r="A286" t="str">
        <f>Sheet1!A286</f>
        <v>C285</v>
      </c>
      <c r="B286" t="str">
        <f>Sheet1!B286</f>
        <v>Campbell Group</v>
      </c>
      <c r="C286">
        <f>Sheet1!R286</f>
        <v>74</v>
      </c>
      <c r="D286">
        <f>Sheet1!H286</f>
        <v>0.24</v>
      </c>
      <c r="E286">
        <f>Sheet1!P286</f>
        <v>66</v>
      </c>
      <c r="F286">
        <f>Sheet1!I286</f>
        <v>450488</v>
      </c>
      <c r="G286" t="str">
        <f t="shared" si="4"/>
        <v>Approved</v>
      </c>
    </row>
    <row r="287" spans="1:7">
      <c r="A287" t="str">
        <f>Sheet1!A287</f>
        <v>C286</v>
      </c>
      <c r="B287" t="str">
        <f>Sheet1!B287</f>
        <v>Lamb, Kelley and Peterson</v>
      </c>
      <c r="C287">
        <f>Sheet1!R287</f>
        <v>58</v>
      </c>
      <c r="D287">
        <f>Sheet1!H287</f>
        <v>1.04</v>
      </c>
      <c r="E287">
        <f>Sheet1!P287</f>
        <v>100</v>
      </c>
      <c r="F287">
        <f>Sheet1!I287</f>
        <v>799221</v>
      </c>
      <c r="G287" t="str">
        <f t="shared" si="4"/>
        <v>Manual Review</v>
      </c>
    </row>
    <row r="288" spans="1:7">
      <c r="A288" t="str">
        <f>Sheet1!A288</f>
        <v>C287</v>
      </c>
      <c r="B288" t="str">
        <f>Sheet1!B288</f>
        <v>Martin-Holden</v>
      </c>
      <c r="C288">
        <f>Sheet1!R288</f>
        <v>56</v>
      </c>
      <c r="D288">
        <f>Sheet1!H288</f>
        <v>0.45</v>
      </c>
      <c r="E288">
        <f>Sheet1!P288</f>
        <v>64</v>
      </c>
      <c r="F288">
        <f>Sheet1!I288</f>
        <v>58866</v>
      </c>
      <c r="G288" t="str">
        <f t="shared" si="4"/>
        <v>Manual Review</v>
      </c>
    </row>
    <row r="289" spans="1:7">
      <c r="A289" t="str">
        <f>Sheet1!A289</f>
        <v>C288</v>
      </c>
      <c r="B289" t="str">
        <f>Sheet1!B289</f>
        <v>Caldwell, Fields and Garrett</v>
      </c>
      <c r="C289">
        <f>Sheet1!R289</f>
        <v>60</v>
      </c>
      <c r="D289">
        <f>Sheet1!H289</f>
        <v>1.1499999999999999</v>
      </c>
      <c r="E289">
        <f>Sheet1!P289</f>
        <v>90</v>
      </c>
      <c r="F289">
        <f>Sheet1!I289</f>
        <v>69115</v>
      </c>
      <c r="G289" t="str">
        <f t="shared" si="4"/>
        <v>Manual Review</v>
      </c>
    </row>
    <row r="290" spans="1:7">
      <c r="A290" t="str">
        <f>Sheet1!A290</f>
        <v>C289</v>
      </c>
      <c r="B290" t="str">
        <f>Sheet1!B290</f>
        <v>Wiley, Ibarra and Smith</v>
      </c>
      <c r="C290">
        <f>Sheet1!R290</f>
        <v>59</v>
      </c>
      <c r="D290">
        <f>Sheet1!H290</f>
        <v>1.1000000000000001</v>
      </c>
      <c r="E290">
        <f>Sheet1!P290</f>
        <v>84</v>
      </c>
      <c r="F290">
        <f>Sheet1!I290</f>
        <v>408037</v>
      </c>
      <c r="G290" t="str">
        <f t="shared" si="4"/>
        <v>Manual Review</v>
      </c>
    </row>
    <row r="291" spans="1:7">
      <c r="A291" t="str">
        <f>Sheet1!A291</f>
        <v>C290</v>
      </c>
      <c r="B291" t="str">
        <f>Sheet1!B291</f>
        <v>Roberts Inc</v>
      </c>
      <c r="C291">
        <f>Sheet1!R291</f>
        <v>62</v>
      </c>
      <c r="D291">
        <f>Sheet1!H291</f>
        <v>0.46</v>
      </c>
      <c r="E291">
        <f>Sheet1!P291</f>
        <v>82</v>
      </c>
      <c r="F291">
        <f>Sheet1!I291</f>
        <v>-84476</v>
      </c>
      <c r="G291" t="str">
        <f t="shared" si="4"/>
        <v>Manual Review</v>
      </c>
    </row>
    <row r="292" spans="1:7">
      <c r="A292" t="str">
        <f>Sheet1!A292</f>
        <v>C291</v>
      </c>
      <c r="B292" t="str">
        <f>Sheet1!B292</f>
        <v>Miller-Washington</v>
      </c>
      <c r="C292">
        <f>Sheet1!R292</f>
        <v>67</v>
      </c>
      <c r="D292">
        <f>Sheet1!H292</f>
        <v>0.83</v>
      </c>
      <c r="E292">
        <f>Sheet1!P292</f>
        <v>82</v>
      </c>
      <c r="F292">
        <f>Sheet1!I292</f>
        <v>426217</v>
      </c>
      <c r="G292" t="str">
        <f t="shared" si="4"/>
        <v>Manual Review</v>
      </c>
    </row>
    <row r="293" spans="1:7">
      <c r="A293" t="str">
        <f>Sheet1!A293</f>
        <v>C292</v>
      </c>
      <c r="B293" t="str">
        <f>Sheet1!B293</f>
        <v>Lopez-Lester</v>
      </c>
      <c r="C293">
        <f>Sheet1!R293</f>
        <v>59</v>
      </c>
      <c r="D293">
        <f>Sheet1!H293</f>
        <v>0.89</v>
      </c>
      <c r="E293">
        <f>Sheet1!P293</f>
        <v>90</v>
      </c>
      <c r="F293">
        <f>Sheet1!I293</f>
        <v>852490</v>
      </c>
      <c r="G293" t="str">
        <f t="shared" si="4"/>
        <v>Manual Review</v>
      </c>
    </row>
    <row r="294" spans="1:7">
      <c r="A294" t="str">
        <f>Sheet1!A294</f>
        <v>C293</v>
      </c>
      <c r="B294" t="str">
        <f>Sheet1!B294</f>
        <v>Moreno-Hawkins</v>
      </c>
      <c r="C294">
        <f>Sheet1!R294</f>
        <v>67</v>
      </c>
      <c r="D294">
        <f>Sheet1!H294</f>
        <v>0.31</v>
      </c>
      <c r="E294">
        <f>Sheet1!P294</f>
        <v>78</v>
      </c>
      <c r="F294">
        <f>Sheet1!I294</f>
        <v>542098</v>
      </c>
      <c r="G294" t="str">
        <f t="shared" si="4"/>
        <v>Manual Review</v>
      </c>
    </row>
    <row r="295" spans="1:7">
      <c r="A295" t="str">
        <f>Sheet1!A295</f>
        <v>C294</v>
      </c>
      <c r="B295" t="str">
        <f>Sheet1!B295</f>
        <v>Ramirez-Anderson</v>
      </c>
      <c r="C295">
        <f>Sheet1!R295</f>
        <v>70</v>
      </c>
      <c r="D295">
        <f>Sheet1!H295</f>
        <v>0.69</v>
      </c>
      <c r="E295">
        <f>Sheet1!P295</f>
        <v>76</v>
      </c>
      <c r="F295">
        <f>Sheet1!I295</f>
        <v>353098</v>
      </c>
      <c r="G295" t="str">
        <f t="shared" si="4"/>
        <v>Approved</v>
      </c>
    </row>
    <row r="296" spans="1:7">
      <c r="A296" t="str">
        <f>Sheet1!A296</f>
        <v>C295</v>
      </c>
      <c r="B296" t="str">
        <f>Sheet1!B296</f>
        <v>Johnson, Webster and Stanley</v>
      </c>
      <c r="C296">
        <f>Sheet1!R296</f>
        <v>73</v>
      </c>
      <c r="D296">
        <f>Sheet1!H296</f>
        <v>0.84</v>
      </c>
      <c r="E296">
        <f>Sheet1!P296</f>
        <v>90</v>
      </c>
      <c r="F296">
        <f>Sheet1!I296</f>
        <v>304274</v>
      </c>
      <c r="G296" t="str">
        <f t="shared" si="4"/>
        <v>Approved</v>
      </c>
    </row>
    <row r="297" spans="1:7">
      <c r="A297" t="str">
        <f>Sheet1!A297</f>
        <v>C296</v>
      </c>
      <c r="B297" t="str">
        <f>Sheet1!B297</f>
        <v>Walton PLC</v>
      </c>
      <c r="C297">
        <f>Sheet1!R297</f>
        <v>76</v>
      </c>
      <c r="D297">
        <f>Sheet1!H297</f>
        <v>0.12</v>
      </c>
      <c r="E297">
        <f>Sheet1!P297</f>
        <v>90</v>
      </c>
      <c r="F297">
        <f>Sheet1!I297</f>
        <v>162925</v>
      </c>
      <c r="G297" t="str">
        <f t="shared" si="4"/>
        <v>Approved</v>
      </c>
    </row>
    <row r="298" spans="1:7">
      <c r="A298" t="str">
        <f>Sheet1!A298</f>
        <v>C297</v>
      </c>
      <c r="B298" t="str">
        <f>Sheet1!B298</f>
        <v>Miller LLC</v>
      </c>
      <c r="C298">
        <f>Sheet1!R298</f>
        <v>59</v>
      </c>
      <c r="D298">
        <f>Sheet1!H298</f>
        <v>0.16</v>
      </c>
      <c r="E298">
        <f>Sheet1!P298</f>
        <v>66</v>
      </c>
      <c r="F298">
        <f>Sheet1!I298</f>
        <v>85341</v>
      </c>
      <c r="G298" t="str">
        <f t="shared" si="4"/>
        <v>Manual Review</v>
      </c>
    </row>
    <row r="299" spans="1:7">
      <c r="A299" t="str">
        <f>Sheet1!A299</f>
        <v>C298</v>
      </c>
      <c r="B299" t="str">
        <f>Sheet1!B299</f>
        <v>Christian Inc</v>
      </c>
      <c r="C299">
        <f>Sheet1!R299</f>
        <v>78</v>
      </c>
      <c r="D299">
        <f>Sheet1!H299</f>
        <v>0.14000000000000001</v>
      </c>
      <c r="E299">
        <f>Sheet1!P299</f>
        <v>72</v>
      </c>
      <c r="F299">
        <f>Sheet1!I299</f>
        <v>321918</v>
      </c>
      <c r="G299" t="str">
        <f t="shared" si="4"/>
        <v>Approved</v>
      </c>
    </row>
    <row r="300" spans="1:7">
      <c r="A300" t="str">
        <f>Sheet1!A300</f>
        <v>C299</v>
      </c>
      <c r="B300" t="str">
        <f>Sheet1!B300</f>
        <v>Herrera-Abbott</v>
      </c>
      <c r="C300">
        <f>Sheet1!R300</f>
        <v>70</v>
      </c>
      <c r="D300">
        <f>Sheet1!H300</f>
        <v>0.26</v>
      </c>
      <c r="E300">
        <f>Sheet1!P300</f>
        <v>74</v>
      </c>
      <c r="F300">
        <f>Sheet1!I300</f>
        <v>240947</v>
      </c>
      <c r="G300" t="str">
        <f t="shared" si="4"/>
        <v>Approved</v>
      </c>
    </row>
    <row r="301" spans="1:7">
      <c r="A301" t="str">
        <f>Sheet1!A301</f>
        <v>C300</v>
      </c>
      <c r="B301" t="str">
        <f>Sheet1!B301</f>
        <v>Ingram, Gonzalez and Everett</v>
      </c>
      <c r="C301">
        <f>Sheet1!R301</f>
        <v>51</v>
      </c>
      <c r="D301">
        <f>Sheet1!H301</f>
        <v>1.06</v>
      </c>
      <c r="E301">
        <f>Sheet1!P301</f>
        <v>69</v>
      </c>
      <c r="F301">
        <f>Sheet1!I301</f>
        <v>615434</v>
      </c>
      <c r="G301" t="str">
        <f t="shared" si="4"/>
        <v>Manual Review</v>
      </c>
    </row>
    <row r="302" spans="1:7">
      <c r="A302" t="str">
        <f>Sheet1!A302</f>
        <v>C301</v>
      </c>
      <c r="B302" t="str">
        <f>Sheet1!B302</f>
        <v>Sharp-Foster</v>
      </c>
      <c r="C302">
        <f>Sheet1!R302</f>
        <v>68</v>
      </c>
      <c r="D302">
        <f>Sheet1!H302</f>
        <v>0.28999999999999998</v>
      </c>
      <c r="E302">
        <f>Sheet1!P302</f>
        <v>64</v>
      </c>
      <c r="F302">
        <f>Sheet1!I302</f>
        <v>974457</v>
      </c>
      <c r="G302" t="str">
        <f t="shared" si="4"/>
        <v>Manual Review</v>
      </c>
    </row>
    <row r="303" spans="1:7">
      <c r="A303" t="str">
        <f>Sheet1!A303</f>
        <v>C302</v>
      </c>
      <c r="B303" t="str">
        <f>Sheet1!B303</f>
        <v>Kennedy Ltd</v>
      </c>
      <c r="C303">
        <f>Sheet1!R303</f>
        <v>57</v>
      </c>
      <c r="D303">
        <f>Sheet1!H303</f>
        <v>0.97</v>
      </c>
      <c r="E303">
        <f>Sheet1!P303</f>
        <v>84</v>
      </c>
      <c r="F303">
        <f>Sheet1!I303</f>
        <v>490116</v>
      </c>
      <c r="G303" t="str">
        <f t="shared" si="4"/>
        <v>Manual Review</v>
      </c>
    </row>
    <row r="304" spans="1:7">
      <c r="A304" t="str">
        <f>Sheet1!A304</f>
        <v>C303</v>
      </c>
      <c r="B304" t="str">
        <f>Sheet1!B304</f>
        <v>Wade-Davis</v>
      </c>
      <c r="C304">
        <f>Sheet1!R304</f>
        <v>56</v>
      </c>
      <c r="D304">
        <f>Sheet1!H304</f>
        <v>1.04</v>
      </c>
      <c r="E304">
        <f>Sheet1!P304</f>
        <v>79</v>
      </c>
      <c r="F304">
        <f>Sheet1!I304</f>
        <v>313178</v>
      </c>
      <c r="G304" t="str">
        <f t="shared" si="4"/>
        <v>Manual Review</v>
      </c>
    </row>
    <row r="305" spans="1:7">
      <c r="A305" t="str">
        <f>Sheet1!A305</f>
        <v>C304</v>
      </c>
      <c r="B305" t="str">
        <f>Sheet1!B305</f>
        <v>Rogers, Michael and Molina</v>
      </c>
      <c r="C305">
        <f>Sheet1!R305</f>
        <v>54</v>
      </c>
      <c r="D305">
        <f>Sheet1!H305</f>
        <v>1.05</v>
      </c>
      <c r="E305">
        <f>Sheet1!P305</f>
        <v>81</v>
      </c>
      <c r="F305">
        <f>Sheet1!I305</f>
        <v>283267</v>
      </c>
      <c r="G305" t="str">
        <f t="shared" si="4"/>
        <v>Manual Review</v>
      </c>
    </row>
    <row r="306" spans="1:7">
      <c r="A306" t="str">
        <f>Sheet1!A306</f>
        <v>C305</v>
      </c>
      <c r="B306" t="str">
        <f>Sheet1!B306</f>
        <v>Guzman-Pham</v>
      </c>
      <c r="C306">
        <f>Sheet1!R306</f>
        <v>65</v>
      </c>
      <c r="D306">
        <f>Sheet1!H306</f>
        <v>0.16</v>
      </c>
      <c r="E306">
        <f>Sheet1!P306</f>
        <v>77</v>
      </c>
      <c r="F306">
        <f>Sheet1!I306</f>
        <v>898114</v>
      </c>
      <c r="G306" t="str">
        <f t="shared" si="4"/>
        <v>Manual Review</v>
      </c>
    </row>
    <row r="307" spans="1:7">
      <c r="A307" t="str">
        <f>Sheet1!A307</f>
        <v>C306</v>
      </c>
      <c r="B307" t="str">
        <f>Sheet1!B307</f>
        <v>Smith, Stewart and Villegas</v>
      </c>
      <c r="C307">
        <f>Sheet1!R307</f>
        <v>70</v>
      </c>
      <c r="D307">
        <f>Sheet1!H307</f>
        <v>0.9</v>
      </c>
      <c r="E307">
        <f>Sheet1!P307</f>
        <v>98</v>
      </c>
      <c r="F307">
        <f>Sheet1!I307</f>
        <v>535345</v>
      </c>
      <c r="G307" t="str">
        <f t="shared" si="4"/>
        <v>Approved</v>
      </c>
    </row>
    <row r="308" spans="1:7">
      <c r="A308" t="str">
        <f>Sheet1!A308</f>
        <v>C307</v>
      </c>
      <c r="B308" t="str">
        <f>Sheet1!B308</f>
        <v>Pittman, Ruiz and Gill</v>
      </c>
      <c r="C308">
        <f>Sheet1!R308</f>
        <v>59</v>
      </c>
      <c r="D308">
        <f>Sheet1!H308</f>
        <v>0.98</v>
      </c>
      <c r="E308">
        <f>Sheet1!P308</f>
        <v>84</v>
      </c>
      <c r="F308">
        <f>Sheet1!I308</f>
        <v>892521</v>
      </c>
      <c r="G308" t="str">
        <f t="shared" si="4"/>
        <v>Manual Review</v>
      </c>
    </row>
    <row r="309" spans="1:7">
      <c r="A309" t="str">
        <f>Sheet1!A309</f>
        <v>C308</v>
      </c>
      <c r="B309" t="str">
        <f>Sheet1!B309</f>
        <v>Gregory-Nguyen</v>
      </c>
      <c r="C309">
        <f>Sheet1!R309</f>
        <v>48</v>
      </c>
      <c r="D309">
        <f>Sheet1!H309</f>
        <v>1.19</v>
      </c>
      <c r="E309">
        <f>Sheet1!P309</f>
        <v>74</v>
      </c>
      <c r="F309">
        <f>Sheet1!I309</f>
        <v>890326</v>
      </c>
      <c r="G309" t="str">
        <f t="shared" si="4"/>
        <v>Rejected</v>
      </c>
    </row>
    <row r="310" spans="1:7">
      <c r="A310" t="str">
        <f>Sheet1!A310</f>
        <v>C309</v>
      </c>
      <c r="B310" t="str">
        <f>Sheet1!B310</f>
        <v>Schmitt Ltd</v>
      </c>
      <c r="C310">
        <f>Sheet1!R310</f>
        <v>48</v>
      </c>
      <c r="D310">
        <f>Sheet1!H310</f>
        <v>0.98</v>
      </c>
      <c r="E310">
        <f>Sheet1!P310</f>
        <v>85</v>
      </c>
      <c r="F310">
        <f>Sheet1!I310</f>
        <v>130729</v>
      </c>
      <c r="G310" t="str">
        <f t="shared" si="4"/>
        <v>Rejected</v>
      </c>
    </row>
    <row r="311" spans="1:7">
      <c r="A311" t="str">
        <f>Sheet1!A311</f>
        <v>C310</v>
      </c>
      <c r="B311" t="str">
        <f>Sheet1!B311</f>
        <v>Williams Inc</v>
      </c>
      <c r="C311">
        <f>Sheet1!R311</f>
        <v>61</v>
      </c>
      <c r="D311">
        <f>Sheet1!H311</f>
        <v>1.0900000000000001</v>
      </c>
      <c r="E311">
        <f>Sheet1!P311</f>
        <v>88</v>
      </c>
      <c r="F311">
        <f>Sheet1!I311</f>
        <v>644351</v>
      </c>
      <c r="G311" t="str">
        <f t="shared" si="4"/>
        <v>Manual Review</v>
      </c>
    </row>
    <row r="312" spans="1:7">
      <c r="A312" t="str">
        <f>Sheet1!A312</f>
        <v>C311</v>
      </c>
      <c r="B312" t="str">
        <f>Sheet1!B312</f>
        <v>Rivera PLC</v>
      </c>
      <c r="C312">
        <f>Sheet1!R312</f>
        <v>63</v>
      </c>
      <c r="D312">
        <f>Sheet1!H312</f>
        <v>0.56999999999999995</v>
      </c>
      <c r="E312">
        <f>Sheet1!P312</f>
        <v>86</v>
      </c>
      <c r="F312">
        <f>Sheet1!I312</f>
        <v>36333</v>
      </c>
      <c r="G312" t="str">
        <f t="shared" si="4"/>
        <v>Manual Review</v>
      </c>
    </row>
    <row r="313" spans="1:7">
      <c r="A313" t="str">
        <f>Sheet1!A313</f>
        <v>C312</v>
      </c>
      <c r="B313" t="str">
        <f>Sheet1!B313</f>
        <v>Martin PLC</v>
      </c>
      <c r="C313">
        <f>Sheet1!R313</f>
        <v>66</v>
      </c>
      <c r="D313">
        <f>Sheet1!H313</f>
        <v>1.08</v>
      </c>
      <c r="E313">
        <f>Sheet1!P313</f>
        <v>97</v>
      </c>
      <c r="F313">
        <f>Sheet1!I313</f>
        <v>-70100</v>
      </c>
      <c r="G313" t="str">
        <f t="shared" si="4"/>
        <v>Manual Review</v>
      </c>
    </row>
    <row r="314" spans="1:7">
      <c r="A314" t="str">
        <f>Sheet1!A314</f>
        <v>C313</v>
      </c>
      <c r="B314" t="str">
        <f>Sheet1!B314</f>
        <v>Hansen-Reed</v>
      </c>
      <c r="C314">
        <f>Sheet1!R314</f>
        <v>69</v>
      </c>
      <c r="D314">
        <f>Sheet1!H314</f>
        <v>0.13</v>
      </c>
      <c r="E314">
        <f>Sheet1!P314</f>
        <v>89</v>
      </c>
      <c r="F314">
        <f>Sheet1!I314</f>
        <v>512689</v>
      </c>
      <c r="G314" t="str">
        <f t="shared" si="4"/>
        <v>Manual Review</v>
      </c>
    </row>
    <row r="315" spans="1:7">
      <c r="A315" t="str">
        <f>Sheet1!A315</f>
        <v>C314</v>
      </c>
      <c r="B315" t="str">
        <f>Sheet1!B315</f>
        <v>Sullivan, Cross and Lozano</v>
      </c>
      <c r="C315">
        <f>Sheet1!R315</f>
        <v>78</v>
      </c>
      <c r="D315">
        <f>Sheet1!H315</f>
        <v>0.33</v>
      </c>
      <c r="E315">
        <f>Sheet1!P315</f>
        <v>99</v>
      </c>
      <c r="F315">
        <f>Sheet1!I315</f>
        <v>863187</v>
      </c>
      <c r="G315" t="str">
        <f t="shared" si="4"/>
        <v>Approved</v>
      </c>
    </row>
    <row r="316" spans="1:7">
      <c r="A316" t="str">
        <f>Sheet1!A316</f>
        <v>C315</v>
      </c>
      <c r="B316" t="str">
        <f>Sheet1!B316</f>
        <v>Hess, Evans and Branch</v>
      </c>
      <c r="C316">
        <f>Sheet1!R316</f>
        <v>78</v>
      </c>
      <c r="D316">
        <f>Sheet1!H316</f>
        <v>0.13</v>
      </c>
      <c r="E316">
        <f>Sheet1!P316</f>
        <v>74</v>
      </c>
      <c r="F316">
        <f>Sheet1!I316</f>
        <v>85097</v>
      </c>
      <c r="G316" t="str">
        <f t="shared" si="4"/>
        <v>Approved</v>
      </c>
    </row>
    <row r="317" spans="1:7">
      <c r="A317" t="str">
        <f>Sheet1!A317</f>
        <v>C316</v>
      </c>
      <c r="B317" t="str">
        <f>Sheet1!B317</f>
        <v>Hall-Ford</v>
      </c>
      <c r="C317">
        <f>Sheet1!R317</f>
        <v>67</v>
      </c>
      <c r="D317">
        <f>Sheet1!H317</f>
        <v>0.67</v>
      </c>
      <c r="E317">
        <f>Sheet1!P317</f>
        <v>82</v>
      </c>
      <c r="F317">
        <f>Sheet1!I317</f>
        <v>219441</v>
      </c>
      <c r="G317" t="str">
        <f t="shared" si="4"/>
        <v>Manual Review</v>
      </c>
    </row>
    <row r="318" spans="1:7">
      <c r="A318" t="str">
        <f>Sheet1!A318</f>
        <v>C317</v>
      </c>
      <c r="B318" t="str">
        <f>Sheet1!B318</f>
        <v>Sullivan-Hood</v>
      </c>
      <c r="C318">
        <f>Sheet1!R318</f>
        <v>66</v>
      </c>
      <c r="D318">
        <f>Sheet1!H318</f>
        <v>0.62</v>
      </c>
      <c r="E318">
        <f>Sheet1!P318</f>
        <v>72</v>
      </c>
      <c r="F318">
        <f>Sheet1!I318</f>
        <v>479179</v>
      </c>
      <c r="G318" t="str">
        <f t="shared" si="4"/>
        <v>Manual Review</v>
      </c>
    </row>
    <row r="319" spans="1:7">
      <c r="A319" t="str">
        <f>Sheet1!A319</f>
        <v>C318</v>
      </c>
      <c r="B319" t="str">
        <f>Sheet1!B319</f>
        <v>Lopez Inc</v>
      </c>
      <c r="C319">
        <f>Sheet1!R319</f>
        <v>52</v>
      </c>
      <c r="D319">
        <f>Sheet1!H319</f>
        <v>0.77</v>
      </c>
      <c r="E319">
        <f>Sheet1!P319</f>
        <v>77</v>
      </c>
      <c r="F319">
        <f>Sheet1!I319</f>
        <v>671165</v>
      </c>
      <c r="G319" t="str">
        <f t="shared" si="4"/>
        <v>Manual Review</v>
      </c>
    </row>
    <row r="320" spans="1:7">
      <c r="A320" t="str">
        <f>Sheet1!A320</f>
        <v>C319</v>
      </c>
      <c r="B320" t="str">
        <f>Sheet1!B320</f>
        <v>Perry PLC</v>
      </c>
      <c r="C320">
        <f>Sheet1!R320</f>
        <v>65</v>
      </c>
      <c r="D320">
        <f>Sheet1!H320</f>
        <v>0.52</v>
      </c>
      <c r="E320">
        <f>Sheet1!P320</f>
        <v>83</v>
      </c>
      <c r="F320">
        <f>Sheet1!I320</f>
        <v>714586</v>
      </c>
      <c r="G320" t="str">
        <f t="shared" si="4"/>
        <v>Manual Review</v>
      </c>
    </row>
    <row r="321" spans="1:7">
      <c r="A321" t="str">
        <f>Sheet1!A321</f>
        <v>C320</v>
      </c>
      <c r="B321" t="str">
        <f>Sheet1!B321</f>
        <v>Brown LLC</v>
      </c>
      <c r="C321">
        <f>Sheet1!R321</f>
        <v>68</v>
      </c>
      <c r="D321">
        <f>Sheet1!H321</f>
        <v>0.68</v>
      </c>
      <c r="E321">
        <f>Sheet1!P321</f>
        <v>79</v>
      </c>
      <c r="F321">
        <f>Sheet1!I321</f>
        <v>-57745</v>
      </c>
      <c r="G321" t="str">
        <f t="shared" si="4"/>
        <v>Manual Review</v>
      </c>
    </row>
    <row r="322" spans="1:7">
      <c r="A322" t="str">
        <f>Sheet1!A322</f>
        <v>C321</v>
      </c>
      <c r="B322" t="str">
        <f>Sheet1!B322</f>
        <v>Robinson, Pittman and Stewart</v>
      </c>
      <c r="C322">
        <f>Sheet1!R322</f>
        <v>52</v>
      </c>
      <c r="D322">
        <f>Sheet1!H322</f>
        <v>1.1399999999999999</v>
      </c>
      <c r="E322">
        <f>Sheet1!P322</f>
        <v>68</v>
      </c>
      <c r="F322">
        <f>Sheet1!I322</f>
        <v>715277</v>
      </c>
      <c r="G322" t="str">
        <f t="shared" ref="G322:G385" si="5">IF(AND(C322&gt;=70,D322&lt;=1,E322&gt;=60),"Approved",IF(OR(C322&lt;50,D322&gt;2),"Rejected","Manual Review"))</f>
        <v>Manual Review</v>
      </c>
    </row>
    <row r="323" spans="1:7">
      <c r="A323" t="str">
        <f>Sheet1!A323</f>
        <v>C322</v>
      </c>
      <c r="B323" t="str">
        <f>Sheet1!B323</f>
        <v>Edwards-Ho</v>
      </c>
      <c r="C323">
        <f>Sheet1!R323</f>
        <v>61</v>
      </c>
      <c r="D323">
        <f>Sheet1!H323</f>
        <v>0.88</v>
      </c>
      <c r="E323">
        <f>Sheet1!P323</f>
        <v>61</v>
      </c>
      <c r="F323">
        <f>Sheet1!I323</f>
        <v>839382</v>
      </c>
      <c r="G323" t="str">
        <f t="shared" si="5"/>
        <v>Manual Review</v>
      </c>
    </row>
    <row r="324" spans="1:7">
      <c r="A324" t="str">
        <f>Sheet1!A324</f>
        <v>C323</v>
      </c>
      <c r="B324" t="str">
        <f>Sheet1!B324</f>
        <v>Vargas-Martin</v>
      </c>
      <c r="C324">
        <f>Sheet1!R324</f>
        <v>68</v>
      </c>
      <c r="D324">
        <f>Sheet1!H324</f>
        <v>0.36</v>
      </c>
      <c r="E324">
        <f>Sheet1!P324</f>
        <v>63</v>
      </c>
      <c r="F324">
        <f>Sheet1!I324</f>
        <v>542594</v>
      </c>
      <c r="G324" t="str">
        <f t="shared" si="5"/>
        <v>Manual Review</v>
      </c>
    </row>
    <row r="325" spans="1:7">
      <c r="A325" t="str">
        <f>Sheet1!A325</f>
        <v>C324</v>
      </c>
      <c r="B325" t="str">
        <f>Sheet1!B325</f>
        <v>Barnes-Mitchell</v>
      </c>
      <c r="C325">
        <f>Sheet1!R325</f>
        <v>56</v>
      </c>
      <c r="D325">
        <f>Sheet1!H325</f>
        <v>1.1200000000000001</v>
      </c>
      <c r="E325">
        <f>Sheet1!P325</f>
        <v>78</v>
      </c>
      <c r="F325">
        <f>Sheet1!I325</f>
        <v>6028</v>
      </c>
      <c r="G325" t="str">
        <f t="shared" si="5"/>
        <v>Manual Review</v>
      </c>
    </row>
    <row r="326" spans="1:7">
      <c r="A326" t="str">
        <f>Sheet1!A326</f>
        <v>C325</v>
      </c>
      <c r="B326" t="str">
        <f>Sheet1!B326</f>
        <v>Williams Inc</v>
      </c>
      <c r="C326">
        <f>Sheet1!R326</f>
        <v>64</v>
      </c>
      <c r="D326">
        <f>Sheet1!H326</f>
        <v>1.18</v>
      </c>
      <c r="E326">
        <f>Sheet1!P326</f>
        <v>94</v>
      </c>
      <c r="F326">
        <f>Sheet1!I326</f>
        <v>30397</v>
      </c>
      <c r="G326" t="str">
        <f t="shared" si="5"/>
        <v>Manual Review</v>
      </c>
    </row>
    <row r="327" spans="1:7">
      <c r="A327" t="str">
        <f>Sheet1!A327</f>
        <v>C326</v>
      </c>
      <c r="B327" t="str">
        <f>Sheet1!B327</f>
        <v>Reese-Miller</v>
      </c>
      <c r="C327">
        <f>Sheet1!R327</f>
        <v>63</v>
      </c>
      <c r="D327">
        <f>Sheet1!H327</f>
        <v>0.6</v>
      </c>
      <c r="E327">
        <f>Sheet1!P327</f>
        <v>68</v>
      </c>
      <c r="F327">
        <f>Sheet1!I327</f>
        <v>120274</v>
      </c>
      <c r="G327" t="str">
        <f t="shared" si="5"/>
        <v>Manual Review</v>
      </c>
    </row>
    <row r="328" spans="1:7">
      <c r="A328" t="str">
        <f>Sheet1!A328</f>
        <v>C327</v>
      </c>
      <c r="B328" t="str">
        <f>Sheet1!B328</f>
        <v>Boyd, Smith and Oliver</v>
      </c>
      <c r="C328">
        <f>Sheet1!R328</f>
        <v>55</v>
      </c>
      <c r="D328">
        <f>Sheet1!H328</f>
        <v>1.02</v>
      </c>
      <c r="E328">
        <f>Sheet1!P328</f>
        <v>84</v>
      </c>
      <c r="F328">
        <f>Sheet1!I328</f>
        <v>260982</v>
      </c>
      <c r="G328" t="str">
        <f t="shared" si="5"/>
        <v>Manual Review</v>
      </c>
    </row>
    <row r="329" spans="1:7">
      <c r="A329" t="str">
        <f>Sheet1!A329</f>
        <v>C328</v>
      </c>
      <c r="B329" t="str">
        <f>Sheet1!B329</f>
        <v>Rodriguez PLC</v>
      </c>
      <c r="C329">
        <f>Sheet1!R329</f>
        <v>55</v>
      </c>
      <c r="D329">
        <f>Sheet1!H329</f>
        <v>0.55000000000000004</v>
      </c>
      <c r="E329">
        <f>Sheet1!P329</f>
        <v>65</v>
      </c>
      <c r="F329">
        <f>Sheet1!I329</f>
        <v>785072</v>
      </c>
      <c r="G329" t="str">
        <f t="shared" si="5"/>
        <v>Manual Review</v>
      </c>
    </row>
    <row r="330" spans="1:7">
      <c r="A330" t="str">
        <f>Sheet1!A330</f>
        <v>C329</v>
      </c>
      <c r="B330" t="str">
        <f>Sheet1!B330</f>
        <v>Harris-Woodard</v>
      </c>
      <c r="C330">
        <f>Sheet1!R330</f>
        <v>46</v>
      </c>
      <c r="D330">
        <f>Sheet1!H330</f>
        <v>1.1599999999999999</v>
      </c>
      <c r="E330">
        <f>Sheet1!P330</f>
        <v>85</v>
      </c>
      <c r="F330">
        <f>Sheet1!I330</f>
        <v>518096</v>
      </c>
      <c r="G330" t="str">
        <f t="shared" si="5"/>
        <v>Rejected</v>
      </c>
    </row>
    <row r="331" spans="1:7">
      <c r="A331" t="str">
        <f>Sheet1!A331</f>
        <v>C330</v>
      </c>
      <c r="B331" t="str">
        <f>Sheet1!B331</f>
        <v>Ramirez-Vasquez</v>
      </c>
      <c r="C331">
        <f>Sheet1!R331</f>
        <v>63</v>
      </c>
      <c r="D331">
        <f>Sheet1!H331</f>
        <v>0.4</v>
      </c>
      <c r="E331">
        <f>Sheet1!P331</f>
        <v>64</v>
      </c>
      <c r="F331">
        <f>Sheet1!I331</f>
        <v>295894</v>
      </c>
      <c r="G331" t="str">
        <f t="shared" si="5"/>
        <v>Manual Review</v>
      </c>
    </row>
    <row r="332" spans="1:7">
      <c r="A332" t="str">
        <f>Sheet1!A332</f>
        <v>C331</v>
      </c>
      <c r="B332" t="str">
        <f>Sheet1!B332</f>
        <v>Munoz Inc</v>
      </c>
      <c r="C332">
        <f>Sheet1!R332</f>
        <v>70</v>
      </c>
      <c r="D332">
        <f>Sheet1!H332</f>
        <v>0.44</v>
      </c>
      <c r="E332">
        <f>Sheet1!P332</f>
        <v>66</v>
      </c>
      <c r="F332">
        <f>Sheet1!I332</f>
        <v>146690</v>
      </c>
      <c r="G332" t="str">
        <f t="shared" si="5"/>
        <v>Approved</v>
      </c>
    </row>
    <row r="333" spans="1:7">
      <c r="A333" t="str">
        <f>Sheet1!A333</f>
        <v>C332</v>
      </c>
      <c r="B333" t="str">
        <f>Sheet1!B333</f>
        <v>Brown-Harrison</v>
      </c>
      <c r="C333">
        <f>Sheet1!R333</f>
        <v>52</v>
      </c>
      <c r="D333">
        <f>Sheet1!H333</f>
        <v>1</v>
      </c>
      <c r="E333">
        <f>Sheet1!P333</f>
        <v>90</v>
      </c>
      <c r="F333">
        <f>Sheet1!I333</f>
        <v>-16308</v>
      </c>
      <c r="G333" t="str">
        <f t="shared" si="5"/>
        <v>Manual Review</v>
      </c>
    </row>
    <row r="334" spans="1:7">
      <c r="A334" t="str">
        <f>Sheet1!A334</f>
        <v>C333</v>
      </c>
      <c r="B334" t="str">
        <f>Sheet1!B334</f>
        <v>Taylor LLC</v>
      </c>
      <c r="C334">
        <f>Sheet1!R334</f>
        <v>55</v>
      </c>
      <c r="D334">
        <f>Sheet1!H334</f>
        <v>0.37</v>
      </c>
      <c r="E334">
        <f>Sheet1!P334</f>
        <v>63</v>
      </c>
      <c r="F334">
        <f>Sheet1!I334</f>
        <v>526703</v>
      </c>
      <c r="G334" t="str">
        <f t="shared" si="5"/>
        <v>Manual Review</v>
      </c>
    </row>
    <row r="335" spans="1:7">
      <c r="A335" t="str">
        <f>Sheet1!A335</f>
        <v>C334</v>
      </c>
      <c r="B335" t="str">
        <f>Sheet1!B335</f>
        <v>Richards-Kim</v>
      </c>
      <c r="C335">
        <f>Sheet1!R335</f>
        <v>51</v>
      </c>
      <c r="D335">
        <f>Sheet1!H335</f>
        <v>1.1100000000000001</v>
      </c>
      <c r="E335">
        <f>Sheet1!P335</f>
        <v>78</v>
      </c>
      <c r="F335">
        <f>Sheet1!I335</f>
        <v>193406</v>
      </c>
      <c r="G335" t="str">
        <f t="shared" si="5"/>
        <v>Manual Review</v>
      </c>
    </row>
    <row r="336" spans="1:7">
      <c r="A336" t="str">
        <f>Sheet1!A336</f>
        <v>C335</v>
      </c>
      <c r="B336" t="str">
        <f>Sheet1!B336</f>
        <v>Gibson, Flores and Singh</v>
      </c>
      <c r="C336">
        <f>Sheet1!R336</f>
        <v>69</v>
      </c>
      <c r="D336">
        <f>Sheet1!H336</f>
        <v>0.72</v>
      </c>
      <c r="E336">
        <f>Sheet1!P336</f>
        <v>77</v>
      </c>
      <c r="F336">
        <f>Sheet1!I336</f>
        <v>672109</v>
      </c>
      <c r="G336" t="str">
        <f t="shared" si="5"/>
        <v>Manual Review</v>
      </c>
    </row>
    <row r="337" spans="1:7">
      <c r="A337" t="str">
        <f>Sheet1!A337</f>
        <v>C336</v>
      </c>
      <c r="B337" t="str">
        <f>Sheet1!B337</f>
        <v>Fields Ltd</v>
      </c>
      <c r="C337">
        <f>Sheet1!R337</f>
        <v>77</v>
      </c>
      <c r="D337">
        <f>Sheet1!H337</f>
        <v>0.42</v>
      </c>
      <c r="E337">
        <f>Sheet1!P337</f>
        <v>80</v>
      </c>
      <c r="F337">
        <f>Sheet1!I337</f>
        <v>658059</v>
      </c>
      <c r="G337" t="str">
        <f t="shared" si="5"/>
        <v>Approved</v>
      </c>
    </row>
    <row r="338" spans="1:7">
      <c r="A338" t="str">
        <f>Sheet1!A338</f>
        <v>C337</v>
      </c>
      <c r="B338" t="str">
        <f>Sheet1!B338</f>
        <v>Kim-Woodard</v>
      </c>
      <c r="C338">
        <f>Sheet1!R338</f>
        <v>58</v>
      </c>
      <c r="D338">
        <f>Sheet1!H338</f>
        <v>0.49</v>
      </c>
      <c r="E338">
        <f>Sheet1!P338</f>
        <v>77</v>
      </c>
      <c r="F338">
        <f>Sheet1!I338</f>
        <v>-43720</v>
      </c>
      <c r="G338" t="str">
        <f t="shared" si="5"/>
        <v>Manual Review</v>
      </c>
    </row>
    <row r="339" spans="1:7">
      <c r="A339" t="str">
        <f>Sheet1!A339</f>
        <v>C338</v>
      </c>
      <c r="B339" t="str">
        <f>Sheet1!B339</f>
        <v>Knapp LLC</v>
      </c>
      <c r="C339">
        <f>Sheet1!R339</f>
        <v>46</v>
      </c>
      <c r="D339">
        <f>Sheet1!H339</f>
        <v>1.1599999999999999</v>
      </c>
      <c r="E339">
        <f>Sheet1!P339</f>
        <v>75</v>
      </c>
      <c r="F339">
        <f>Sheet1!I339</f>
        <v>48014</v>
      </c>
      <c r="G339" t="str">
        <f t="shared" si="5"/>
        <v>Rejected</v>
      </c>
    </row>
    <row r="340" spans="1:7">
      <c r="A340" t="str">
        <f>Sheet1!A340</f>
        <v>C339</v>
      </c>
      <c r="B340" t="str">
        <f>Sheet1!B340</f>
        <v>Gray Group</v>
      </c>
      <c r="C340">
        <f>Sheet1!R340</f>
        <v>68</v>
      </c>
      <c r="D340">
        <f>Sheet1!H340</f>
        <v>0.57999999999999996</v>
      </c>
      <c r="E340">
        <f>Sheet1!P340</f>
        <v>75</v>
      </c>
      <c r="F340">
        <f>Sheet1!I340</f>
        <v>785553</v>
      </c>
      <c r="G340" t="str">
        <f t="shared" si="5"/>
        <v>Manual Review</v>
      </c>
    </row>
    <row r="341" spans="1:7">
      <c r="A341" t="str">
        <f>Sheet1!A341</f>
        <v>C340</v>
      </c>
      <c r="B341" t="str">
        <f>Sheet1!B341</f>
        <v>Collins, Fitzpatrick and Callahan</v>
      </c>
      <c r="C341">
        <f>Sheet1!R341</f>
        <v>45</v>
      </c>
      <c r="D341">
        <f>Sheet1!H341</f>
        <v>1.1399999999999999</v>
      </c>
      <c r="E341">
        <f>Sheet1!P341</f>
        <v>63</v>
      </c>
      <c r="F341">
        <f>Sheet1!I341</f>
        <v>803880</v>
      </c>
      <c r="G341" t="str">
        <f t="shared" si="5"/>
        <v>Rejected</v>
      </c>
    </row>
    <row r="342" spans="1:7">
      <c r="A342" t="str">
        <f>Sheet1!A342</f>
        <v>C341</v>
      </c>
      <c r="B342" t="str">
        <f>Sheet1!B342</f>
        <v>Brock Inc</v>
      </c>
      <c r="C342">
        <f>Sheet1!R342</f>
        <v>80</v>
      </c>
      <c r="D342">
        <f>Sheet1!H342</f>
        <v>0.14000000000000001</v>
      </c>
      <c r="E342">
        <f>Sheet1!P342</f>
        <v>82</v>
      </c>
      <c r="F342">
        <f>Sheet1!I342</f>
        <v>470550</v>
      </c>
      <c r="G342" t="str">
        <f t="shared" si="5"/>
        <v>Approved</v>
      </c>
    </row>
    <row r="343" spans="1:7">
      <c r="A343" t="str">
        <f>Sheet1!A343</f>
        <v>C342</v>
      </c>
      <c r="B343" t="str">
        <f>Sheet1!B343</f>
        <v>Mcneil-Sims</v>
      </c>
      <c r="C343">
        <f>Sheet1!R343</f>
        <v>63</v>
      </c>
      <c r="D343">
        <f>Sheet1!H343</f>
        <v>0.5</v>
      </c>
      <c r="E343">
        <f>Sheet1!P343</f>
        <v>80</v>
      </c>
      <c r="F343">
        <f>Sheet1!I343</f>
        <v>634821</v>
      </c>
      <c r="G343" t="str">
        <f t="shared" si="5"/>
        <v>Manual Review</v>
      </c>
    </row>
    <row r="344" spans="1:7">
      <c r="A344" t="str">
        <f>Sheet1!A344</f>
        <v>C343</v>
      </c>
      <c r="B344" t="str">
        <f>Sheet1!B344</f>
        <v>Smith, Arellano and Howard</v>
      </c>
      <c r="C344">
        <f>Sheet1!R344</f>
        <v>78</v>
      </c>
      <c r="D344">
        <f>Sheet1!H344</f>
        <v>0.3</v>
      </c>
      <c r="E344">
        <f>Sheet1!P344</f>
        <v>91</v>
      </c>
      <c r="F344">
        <f>Sheet1!I344</f>
        <v>-21869</v>
      </c>
      <c r="G344" t="str">
        <f t="shared" si="5"/>
        <v>Approved</v>
      </c>
    </row>
    <row r="345" spans="1:7">
      <c r="A345" t="str">
        <f>Sheet1!A345</f>
        <v>C344</v>
      </c>
      <c r="B345" t="str">
        <f>Sheet1!B345</f>
        <v>Wilson, Martinez and Jefferson</v>
      </c>
      <c r="C345">
        <f>Sheet1!R345</f>
        <v>67</v>
      </c>
      <c r="D345">
        <f>Sheet1!H345</f>
        <v>0.85</v>
      </c>
      <c r="E345">
        <f>Sheet1!P345</f>
        <v>81</v>
      </c>
      <c r="F345">
        <f>Sheet1!I345</f>
        <v>-61344</v>
      </c>
      <c r="G345" t="str">
        <f t="shared" si="5"/>
        <v>Manual Review</v>
      </c>
    </row>
    <row r="346" spans="1:7">
      <c r="A346" t="str">
        <f>Sheet1!A346</f>
        <v>C345</v>
      </c>
      <c r="B346" t="str">
        <f>Sheet1!B346</f>
        <v>West Ltd</v>
      </c>
      <c r="C346">
        <f>Sheet1!R346</f>
        <v>76</v>
      </c>
      <c r="D346">
        <f>Sheet1!H346</f>
        <v>0.26</v>
      </c>
      <c r="E346">
        <f>Sheet1!P346</f>
        <v>95</v>
      </c>
      <c r="F346">
        <f>Sheet1!I346</f>
        <v>138745</v>
      </c>
      <c r="G346" t="str">
        <f t="shared" si="5"/>
        <v>Approved</v>
      </c>
    </row>
    <row r="347" spans="1:7">
      <c r="A347" t="str">
        <f>Sheet1!A347</f>
        <v>C346</v>
      </c>
      <c r="B347" t="str">
        <f>Sheet1!B347</f>
        <v>Spencer-Johnson</v>
      </c>
      <c r="C347">
        <f>Sheet1!R347</f>
        <v>58</v>
      </c>
      <c r="D347">
        <f>Sheet1!H347</f>
        <v>1.1599999999999999</v>
      </c>
      <c r="E347">
        <f>Sheet1!P347</f>
        <v>79</v>
      </c>
      <c r="F347">
        <f>Sheet1!I347</f>
        <v>860970</v>
      </c>
      <c r="G347" t="str">
        <f t="shared" si="5"/>
        <v>Manual Review</v>
      </c>
    </row>
    <row r="348" spans="1:7">
      <c r="A348" t="str">
        <f>Sheet1!A348</f>
        <v>C347</v>
      </c>
      <c r="B348" t="str">
        <f>Sheet1!B348</f>
        <v>Haynes PLC</v>
      </c>
      <c r="C348">
        <f>Sheet1!R348</f>
        <v>66</v>
      </c>
      <c r="D348">
        <f>Sheet1!H348</f>
        <v>0.26</v>
      </c>
      <c r="E348">
        <f>Sheet1!P348</f>
        <v>63</v>
      </c>
      <c r="F348">
        <f>Sheet1!I348</f>
        <v>349585</v>
      </c>
      <c r="G348" t="str">
        <f t="shared" si="5"/>
        <v>Manual Review</v>
      </c>
    </row>
    <row r="349" spans="1:7">
      <c r="A349" t="str">
        <f>Sheet1!A349</f>
        <v>C348</v>
      </c>
      <c r="B349" t="str">
        <f>Sheet1!B349</f>
        <v>Martin Ltd</v>
      </c>
      <c r="C349">
        <f>Sheet1!R349</f>
        <v>68</v>
      </c>
      <c r="D349">
        <f>Sheet1!H349</f>
        <v>1.17</v>
      </c>
      <c r="E349">
        <f>Sheet1!P349</f>
        <v>98</v>
      </c>
      <c r="F349">
        <f>Sheet1!I349</f>
        <v>-18928</v>
      </c>
      <c r="G349" t="str">
        <f t="shared" si="5"/>
        <v>Manual Review</v>
      </c>
    </row>
    <row r="350" spans="1:7">
      <c r="A350" t="str">
        <f>Sheet1!A350</f>
        <v>C349</v>
      </c>
      <c r="B350" t="str">
        <f>Sheet1!B350</f>
        <v>Horne Inc</v>
      </c>
      <c r="C350">
        <f>Sheet1!R350</f>
        <v>78</v>
      </c>
      <c r="D350">
        <f>Sheet1!H350</f>
        <v>0.24</v>
      </c>
      <c r="E350">
        <f>Sheet1!P350</f>
        <v>83</v>
      </c>
      <c r="F350">
        <f>Sheet1!I350</f>
        <v>577007</v>
      </c>
      <c r="G350" t="str">
        <f t="shared" si="5"/>
        <v>Approved</v>
      </c>
    </row>
    <row r="351" spans="1:7">
      <c r="A351" t="str">
        <f>Sheet1!A351</f>
        <v>C350</v>
      </c>
      <c r="B351" t="str">
        <f>Sheet1!B351</f>
        <v>Martin LLC</v>
      </c>
      <c r="C351">
        <f>Sheet1!R351</f>
        <v>75</v>
      </c>
      <c r="D351">
        <f>Sheet1!H351</f>
        <v>0.52</v>
      </c>
      <c r="E351">
        <f>Sheet1!P351</f>
        <v>94</v>
      </c>
      <c r="F351">
        <f>Sheet1!I351</f>
        <v>22484</v>
      </c>
      <c r="G351" t="str">
        <f t="shared" si="5"/>
        <v>Approved</v>
      </c>
    </row>
    <row r="352" spans="1:7">
      <c r="A352" t="str">
        <f>Sheet1!A352</f>
        <v>C351</v>
      </c>
      <c r="B352" t="str">
        <f>Sheet1!B352</f>
        <v>Preston, Mcmahon and Rodriguez</v>
      </c>
      <c r="C352">
        <f>Sheet1!R352</f>
        <v>70</v>
      </c>
      <c r="D352">
        <f>Sheet1!H352</f>
        <v>0.31</v>
      </c>
      <c r="E352">
        <f>Sheet1!P352</f>
        <v>63</v>
      </c>
      <c r="F352">
        <f>Sheet1!I352</f>
        <v>28939</v>
      </c>
      <c r="G352" t="str">
        <f t="shared" si="5"/>
        <v>Approved</v>
      </c>
    </row>
    <row r="353" spans="1:7">
      <c r="A353" t="str">
        <f>Sheet1!A353</f>
        <v>C352</v>
      </c>
      <c r="B353" t="str">
        <f>Sheet1!B353</f>
        <v>Robinson PLC</v>
      </c>
      <c r="C353">
        <f>Sheet1!R353</f>
        <v>58</v>
      </c>
      <c r="D353">
        <f>Sheet1!H353</f>
        <v>0.34</v>
      </c>
      <c r="E353">
        <f>Sheet1!P353</f>
        <v>69</v>
      </c>
      <c r="F353">
        <f>Sheet1!I353</f>
        <v>708329</v>
      </c>
      <c r="G353" t="str">
        <f t="shared" si="5"/>
        <v>Manual Review</v>
      </c>
    </row>
    <row r="354" spans="1:7">
      <c r="A354" t="str">
        <f>Sheet1!A354</f>
        <v>C353</v>
      </c>
      <c r="B354" t="str">
        <f>Sheet1!B354</f>
        <v>Ellis-Bowen</v>
      </c>
      <c r="C354">
        <f>Sheet1!R354</f>
        <v>61</v>
      </c>
      <c r="D354">
        <f>Sheet1!H354</f>
        <v>0.53</v>
      </c>
      <c r="E354">
        <f>Sheet1!P354</f>
        <v>77</v>
      </c>
      <c r="F354">
        <f>Sheet1!I354</f>
        <v>752910</v>
      </c>
      <c r="G354" t="str">
        <f t="shared" si="5"/>
        <v>Manual Review</v>
      </c>
    </row>
    <row r="355" spans="1:7">
      <c r="A355" t="str">
        <f>Sheet1!A355</f>
        <v>C354</v>
      </c>
      <c r="B355" t="str">
        <f>Sheet1!B355</f>
        <v>Williams-Martin</v>
      </c>
      <c r="C355">
        <f>Sheet1!R355</f>
        <v>59</v>
      </c>
      <c r="D355">
        <f>Sheet1!H355</f>
        <v>0.32</v>
      </c>
      <c r="E355">
        <f>Sheet1!P355</f>
        <v>71</v>
      </c>
      <c r="F355">
        <f>Sheet1!I355</f>
        <v>579695</v>
      </c>
      <c r="G355" t="str">
        <f t="shared" si="5"/>
        <v>Manual Review</v>
      </c>
    </row>
    <row r="356" spans="1:7">
      <c r="A356" t="str">
        <f>Sheet1!A356</f>
        <v>C355</v>
      </c>
      <c r="B356" t="str">
        <f>Sheet1!B356</f>
        <v>Smith and Sons</v>
      </c>
      <c r="C356">
        <f>Sheet1!R356</f>
        <v>52</v>
      </c>
      <c r="D356">
        <f>Sheet1!H356</f>
        <v>0.96</v>
      </c>
      <c r="E356">
        <f>Sheet1!P356</f>
        <v>70</v>
      </c>
      <c r="F356">
        <f>Sheet1!I356</f>
        <v>237145</v>
      </c>
      <c r="G356" t="str">
        <f t="shared" si="5"/>
        <v>Manual Review</v>
      </c>
    </row>
    <row r="357" spans="1:7">
      <c r="A357" t="str">
        <f>Sheet1!A357</f>
        <v>C356</v>
      </c>
      <c r="B357" t="str">
        <f>Sheet1!B357</f>
        <v>Sims and Sons</v>
      </c>
      <c r="C357">
        <f>Sheet1!R357</f>
        <v>65</v>
      </c>
      <c r="D357">
        <f>Sheet1!H357</f>
        <v>0.49</v>
      </c>
      <c r="E357">
        <f>Sheet1!P357</f>
        <v>61</v>
      </c>
      <c r="F357">
        <f>Sheet1!I357</f>
        <v>257584</v>
      </c>
      <c r="G357" t="str">
        <f t="shared" si="5"/>
        <v>Manual Review</v>
      </c>
    </row>
    <row r="358" spans="1:7">
      <c r="A358" t="str">
        <f>Sheet1!A358</f>
        <v>C357</v>
      </c>
      <c r="B358" t="str">
        <f>Sheet1!B358</f>
        <v>Alvarez, Fitzpatrick and Burton</v>
      </c>
      <c r="C358">
        <f>Sheet1!R358</f>
        <v>64</v>
      </c>
      <c r="D358">
        <f>Sheet1!H358</f>
        <v>0.64</v>
      </c>
      <c r="E358">
        <f>Sheet1!P358</f>
        <v>83</v>
      </c>
      <c r="F358">
        <f>Sheet1!I358</f>
        <v>844722</v>
      </c>
      <c r="G358" t="str">
        <f t="shared" si="5"/>
        <v>Manual Review</v>
      </c>
    </row>
    <row r="359" spans="1:7">
      <c r="A359" t="str">
        <f>Sheet1!A359</f>
        <v>C358</v>
      </c>
      <c r="B359" t="str">
        <f>Sheet1!B359</f>
        <v>Mendez-Stewart</v>
      </c>
      <c r="C359">
        <f>Sheet1!R359</f>
        <v>69</v>
      </c>
      <c r="D359">
        <f>Sheet1!H359</f>
        <v>0.24</v>
      </c>
      <c r="E359">
        <f>Sheet1!P359</f>
        <v>73</v>
      </c>
      <c r="F359">
        <f>Sheet1!I359</f>
        <v>648947</v>
      </c>
      <c r="G359" t="str">
        <f t="shared" si="5"/>
        <v>Manual Review</v>
      </c>
    </row>
    <row r="360" spans="1:7">
      <c r="A360" t="str">
        <f>Sheet1!A360</f>
        <v>C359</v>
      </c>
      <c r="B360" t="str">
        <f>Sheet1!B360</f>
        <v>Hughes Ltd</v>
      </c>
      <c r="C360">
        <f>Sheet1!R360</f>
        <v>65</v>
      </c>
      <c r="D360">
        <f>Sheet1!H360</f>
        <v>0.24</v>
      </c>
      <c r="E360">
        <f>Sheet1!P360</f>
        <v>62</v>
      </c>
      <c r="F360">
        <f>Sheet1!I360</f>
        <v>103952</v>
      </c>
      <c r="G360" t="str">
        <f t="shared" si="5"/>
        <v>Manual Review</v>
      </c>
    </row>
    <row r="361" spans="1:7">
      <c r="A361" t="str">
        <f>Sheet1!A361</f>
        <v>C360</v>
      </c>
      <c r="B361" t="str">
        <f>Sheet1!B361</f>
        <v>Wilson-Cummings</v>
      </c>
      <c r="C361">
        <f>Sheet1!R361</f>
        <v>57</v>
      </c>
      <c r="D361">
        <f>Sheet1!H361</f>
        <v>1.06</v>
      </c>
      <c r="E361">
        <f>Sheet1!P361</f>
        <v>89</v>
      </c>
      <c r="F361">
        <f>Sheet1!I361</f>
        <v>298480</v>
      </c>
      <c r="G361" t="str">
        <f t="shared" si="5"/>
        <v>Manual Review</v>
      </c>
    </row>
    <row r="362" spans="1:7">
      <c r="A362" t="str">
        <f>Sheet1!A362</f>
        <v>C361</v>
      </c>
      <c r="B362" t="str">
        <f>Sheet1!B362</f>
        <v>Harris, Barrett and Middleton</v>
      </c>
      <c r="C362">
        <f>Sheet1!R362</f>
        <v>58</v>
      </c>
      <c r="D362">
        <f>Sheet1!H362</f>
        <v>0.73</v>
      </c>
      <c r="E362">
        <f>Sheet1!P362</f>
        <v>99</v>
      </c>
      <c r="F362">
        <f>Sheet1!I362</f>
        <v>887135</v>
      </c>
      <c r="G362" t="str">
        <f t="shared" si="5"/>
        <v>Manual Review</v>
      </c>
    </row>
    <row r="363" spans="1:7">
      <c r="A363" t="str">
        <f>Sheet1!A363</f>
        <v>C362</v>
      </c>
      <c r="B363" t="str">
        <f>Sheet1!B363</f>
        <v>Garcia-Pratt</v>
      </c>
      <c r="C363">
        <f>Sheet1!R363</f>
        <v>50</v>
      </c>
      <c r="D363">
        <f>Sheet1!H363</f>
        <v>0.87</v>
      </c>
      <c r="E363">
        <f>Sheet1!P363</f>
        <v>81</v>
      </c>
      <c r="F363">
        <f>Sheet1!I363</f>
        <v>-22776</v>
      </c>
      <c r="G363" t="str">
        <f t="shared" si="5"/>
        <v>Manual Review</v>
      </c>
    </row>
    <row r="364" spans="1:7">
      <c r="A364" t="str">
        <f>Sheet1!A364</f>
        <v>C363</v>
      </c>
      <c r="B364" t="str">
        <f>Sheet1!B364</f>
        <v>Mendoza LLC</v>
      </c>
      <c r="C364">
        <f>Sheet1!R364</f>
        <v>79</v>
      </c>
      <c r="D364">
        <f>Sheet1!H364</f>
        <v>0.12</v>
      </c>
      <c r="E364">
        <f>Sheet1!P364</f>
        <v>73</v>
      </c>
      <c r="F364">
        <f>Sheet1!I364</f>
        <v>778479</v>
      </c>
      <c r="G364" t="str">
        <f t="shared" si="5"/>
        <v>Approved</v>
      </c>
    </row>
    <row r="365" spans="1:7">
      <c r="A365" t="str">
        <f>Sheet1!A365</f>
        <v>C364</v>
      </c>
      <c r="B365" t="str">
        <f>Sheet1!B365</f>
        <v>Lewis-Sampson</v>
      </c>
      <c r="C365">
        <f>Sheet1!R365</f>
        <v>57</v>
      </c>
      <c r="D365">
        <f>Sheet1!H365</f>
        <v>0.66</v>
      </c>
      <c r="E365">
        <f>Sheet1!P365</f>
        <v>93</v>
      </c>
      <c r="F365">
        <f>Sheet1!I365</f>
        <v>468363</v>
      </c>
      <c r="G365" t="str">
        <f t="shared" si="5"/>
        <v>Manual Review</v>
      </c>
    </row>
    <row r="366" spans="1:7">
      <c r="A366" t="str">
        <f>Sheet1!A366</f>
        <v>C365</v>
      </c>
      <c r="B366" t="str">
        <f>Sheet1!B366</f>
        <v>Herrera, Foley and Fleming</v>
      </c>
      <c r="C366">
        <f>Sheet1!R366</f>
        <v>68</v>
      </c>
      <c r="D366">
        <f>Sheet1!H366</f>
        <v>0.76</v>
      </c>
      <c r="E366">
        <f>Sheet1!P366</f>
        <v>100</v>
      </c>
      <c r="F366">
        <f>Sheet1!I366</f>
        <v>470820</v>
      </c>
      <c r="G366" t="str">
        <f t="shared" si="5"/>
        <v>Manual Review</v>
      </c>
    </row>
    <row r="367" spans="1:7">
      <c r="A367" t="str">
        <f>Sheet1!A367</f>
        <v>C366</v>
      </c>
      <c r="B367" t="str">
        <f>Sheet1!B367</f>
        <v>Willis Ltd</v>
      </c>
      <c r="C367">
        <f>Sheet1!R367</f>
        <v>61</v>
      </c>
      <c r="D367">
        <f>Sheet1!H367</f>
        <v>0.26</v>
      </c>
      <c r="E367">
        <f>Sheet1!P367</f>
        <v>68</v>
      </c>
      <c r="F367">
        <f>Sheet1!I367</f>
        <v>524186</v>
      </c>
      <c r="G367" t="str">
        <f t="shared" si="5"/>
        <v>Manual Review</v>
      </c>
    </row>
    <row r="368" spans="1:7">
      <c r="A368" t="str">
        <f>Sheet1!A368</f>
        <v>C367</v>
      </c>
      <c r="B368" t="str">
        <f>Sheet1!B368</f>
        <v>Hall-Murray</v>
      </c>
      <c r="C368">
        <f>Sheet1!R368</f>
        <v>74</v>
      </c>
      <c r="D368">
        <f>Sheet1!H368</f>
        <v>0.59</v>
      </c>
      <c r="E368">
        <f>Sheet1!P368</f>
        <v>87</v>
      </c>
      <c r="F368">
        <f>Sheet1!I368</f>
        <v>924404</v>
      </c>
      <c r="G368" t="str">
        <f t="shared" si="5"/>
        <v>Approved</v>
      </c>
    </row>
    <row r="369" spans="1:7">
      <c r="A369" t="str">
        <f>Sheet1!A369</f>
        <v>C368</v>
      </c>
      <c r="B369" t="str">
        <f>Sheet1!B369</f>
        <v>Gordon PLC</v>
      </c>
      <c r="C369">
        <f>Sheet1!R369</f>
        <v>70</v>
      </c>
      <c r="D369">
        <f>Sheet1!H369</f>
        <v>0.76</v>
      </c>
      <c r="E369">
        <f>Sheet1!P369</f>
        <v>85</v>
      </c>
      <c r="F369">
        <f>Sheet1!I369</f>
        <v>-45996</v>
      </c>
      <c r="G369" t="str">
        <f t="shared" si="5"/>
        <v>Approved</v>
      </c>
    </row>
    <row r="370" spans="1:7">
      <c r="A370" t="str">
        <f>Sheet1!A370</f>
        <v>C369</v>
      </c>
      <c r="B370" t="str">
        <f>Sheet1!B370</f>
        <v>Schmidt, Sanchez and Vazquez</v>
      </c>
      <c r="C370">
        <f>Sheet1!R370</f>
        <v>61</v>
      </c>
      <c r="D370">
        <f>Sheet1!H370</f>
        <v>0.33</v>
      </c>
      <c r="E370">
        <f>Sheet1!P370</f>
        <v>66</v>
      </c>
      <c r="F370">
        <f>Sheet1!I370</f>
        <v>60217</v>
      </c>
      <c r="G370" t="str">
        <f t="shared" si="5"/>
        <v>Manual Review</v>
      </c>
    </row>
    <row r="371" spans="1:7">
      <c r="A371" t="str">
        <f>Sheet1!A371</f>
        <v>C370</v>
      </c>
      <c r="B371" t="str">
        <f>Sheet1!B371</f>
        <v>White LLC</v>
      </c>
      <c r="C371">
        <f>Sheet1!R371</f>
        <v>58</v>
      </c>
      <c r="D371">
        <f>Sheet1!H371</f>
        <v>1.08</v>
      </c>
      <c r="E371">
        <f>Sheet1!P371</f>
        <v>81</v>
      </c>
      <c r="F371">
        <f>Sheet1!I371</f>
        <v>113484</v>
      </c>
      <c r="G371" t="str">
        <f t="shared" si="5"/>
        <v>Manual Review</v>
      </c>
    </row>
    <row r="372" spans="1:7">
      <c r="A372" t="str">
        <f>Sheet1!A372</f>
        <v>C371</v>
      </c>
      <c r="B372" t="str">
        <f>Sheet1!B372</f>
        <v>King and Sons</v>
      </c>
      <c r="C372">
        <f>Sheet1!R372</f>
        <v>65</v>
      </c>
      <c r="D372">
        <f>Sheet1!H372</f>
        <v>0.23</v>
      </c>
      <c r="E372">
        <f>Sheet1!P372</f>
        <v>86</v>
      </c>
      <c r="F372">
        <f>Sheet1!I372</f>
        <v>417626</v>
      </c>
      <c r="G372" t="str">
        <f t="shared" si="5"/>
        <v>Manual Review</v>
      </c>
    </row>
    <row r="373" spans="1:7">
      <c r="A373" t="str">
        <f>Sheet1!A373</f>
        <v>C372</v>
      </c>
      <c r="B373" t="str">
        <f>Sheet1!B373</f>
        <v>Hayes-Best</v>
      </c>
      <c r="C373">
        <f>Sheet1!R373</f>
        <v>73</v>
      </c>
      <c r="D373">
        <f>Sheet1!H373</f>
        <v>0.83</v>
      </c>
      <c r="E373">
        <f>Sheet1!P373</f>
        <v>94</v>
      </c>
      <c r="F373">
        <f>Sheet1!I373</f>
        <v>864084</v>
      </c>
      <c r="G373" t="str">
        <f t="shared" si="5"/>
        <v>Approved</v>
      </c>
    </row>
    <row r="374" spans="1:7">
      <c r="A374" t="str">
        <f>Sheet1!A374</f>
        <v>C373</v>
      </c>
      <c r="B374" t="str">
        <f>Sheet1!B374</f>
        <v>Thomas LLC</v>
      </c>
      <c r="C374">
        <f>Sheet1!R374</f>
        <v>64</v>
      </c>
      <c r="D374">
        <f>Sheet1!H374</f>
        <v>0.65</v>
      </c>
      <c r="E374">
        <f>Sheet1!P374</f>
        <v>60</v>
      </c>
      <c r="F374">
        <f>Sheet1!I374</f>
        <v>233728</v>
      </c>
      <c r="G374" t="str">
        <f t="shared" si="5"/>
        <v>Manual Review</v>
      </c>
    </row>
    <row r="375" spans="1:7">
      <c r="A375" t="str">
        <f>Sheet1!A375</f>
        <v>C374</v>
      </c>
      <c r="B375" t="str">
        <f>Sheet1!B375</f>
        <v>Avila-Thomas</v>
      </c>
      <c r="C375">
        <f>Sheet1!R375</f>
        <v>66</v>
      </c>
      <c r="D375">
        <f>Sheet1!H375</f>
        <v>1.1100000000000001</v>
      </c>
      <c r="E375">
        <f>Sheet1!P375</f>
        <v>92</v>
      </c>
      <c r="F375">
        <f>Sheet1!I375</f>
        <v>911470</v>
      </c>
      <c r="G375" t="str">
        <f t="shared" si="5"/>
        <v>Manual Review</v>
      </c>
    </row>
    <row r="376" spans="1:7">
      <c r="A376" t="str">
        <f>Sheet1!A376</f>
        <v>C375</v>
      </c>
      <c r="B376" t="str">
        <f>Sheet1!B376</f>
        <v>James, Mitchell and Bean</v>
      </c>
      <c r="C376">
        <f>Sheet1!R376</f>
        <v>74</v>
      </c>
      <c r="D376">
        <f>Sheet1!H376</f>
        <v>0.28999999999999998</v>
      </c>
      <c r="E376">
        <f>Sheet1!P376</f>
        <v>85</v>
      </c>
      <c r="F376">
        <f>Sheet1!I376</f>
        <v>930785</v>
      </c>
      <c r="G376" t="str">
        <f t="shared" si="5"/>
        <v>Approved</v>
      </c>
    </row>
    <row r="377" spans="1:7">
      <c r="A377" t="str">
        <f>Sheet1!A377</f>
        <v>C376</v>
      </c>
      <c r="B377" t="str">
        <f>Sheet1!B377</f>
        <v>Rangel-Roberts</v>
      </c>
      <c r="C377">
        <f>Sheet1!R377</f>
        <v>58</v>
      </c>
      <c r="D377">
        <f>Sheet1!H377</f>
        <v>0.72</v>
      </c>
      <c r="E377">
        <f>Sheet1!P377</f>
        <v>94</v>
      </c>
      <c r="F377">
        <f>Sheet1!I377</f>
        <v>416898</v>
      </c>
      <c r="G377" t="str">
        <f t="shared" si="5"/>
        <v>Manual Review</v>
      </c>
    </row>
    <row r="378" spans="1:7">
      <c r="A378" t="str">
        <f>Sheet1!A378</f>
        <v>C377</v>
      </c>
      <c r="B378" t="str">
        <f>Sheet1!B378</f>
        <v>Campbell Ltd</v>
      </c>
      <c r="C378">
        <f>Sheet1!R378</f>
        <v>52</v>
      </c>
      <c r="D378">
        <f>Sheet1!H378</f>
        <v>0.68</v>
      </c>
      <c r="E378">
        <f>Sheet1!P378</f>
        <v>80</v>
      </c>
      <c r="F378">
        <f>Sheet1!I378</f>
        <v>343055</v>
      </c>
      <c r="G378" t="str">
        <f t="shared" si="5"/>
        <v>Manual Review</v>
      </c>
    </row>
    <row r="379" spans="1:7">
      <c r="A379" t="str">
        <f>Sheet1!A379</f>
        <v>C378</v>
      </c>
      <c r="B379" t="str">
        <f>Sheet1!B379</f>
        <v>Brown LLC</v>
      </c>
      <c r="C379">
        <f>Sheet1!R379</f>
        <v>52</v>
      </c>
      <c r="D379">
        <f>Sheet1!H379</f>
        <v>1</v>
      </c>
      <c r="E379">
        <f>Sheet1!P379</f>
        <v>93</v>
      </c>
      <c r="F379">
        <f>Sheet1!I379</f>
        <v>701995</v>
      </c>
      <c r="G379" t="str">
        <f t="shared" si="5"/>
        <v>Manual Review</v>
      </c>
    </row>
    <row r="380" spans="1:7">
      <c r="A380" t="str">
        <f>Sheet1!A380</f>
        <v>C379</v>
      </c>
      <c r="B380" t="str">
        <f>Sheet1!B380</f>
        <v>Gibson-Johnson</v>
      </c>
      <c r="C380">
        <f>Sheet1!R380</f>
        <v>53</v>
      </c>
      <c r="D380">
        <f>Sheet1!H380</f>
        <v>0.74</v>
      </c>
      <c r="E380">
        <f>Sheet1!P380</f>
        <v>83</v>
      </c>
      <c r="F380">
        <f>Sheet1!I380</f>
        <v>813991</v>
      </c>
      <c r="G380" t="str">
        <f t="shared" si="5"/>
        <v>Manual Review</v>
      </c>
    </row>
    <row r="381" spans="1:7">
      <c r="A381" t="str">
        <f>Sheet1!A381</f>
        <v>C380</v>
      </c>
      <c r="B381" t="str">
        <f>Sheet1!B381</f>
        <v>Ortega, Chavez and Walker</v>
      </c>
      <c r="C381">
        <f>Sheet1!R381</f>
        <v>70</v>
      </c>
      <c r="D381">
        <f>Sheet1!H381</f>
        <v>0.53</v>
      </c>
      <c r="E381">
        <f>Sheet1!P381</f>
        <v>79</v>
      </c>
      <c r="F381">
        <f>Sheet1!I381</f>
        <v>40864</v>
      </c>
      <c r="G381" t="str">
        <f t="shared" si="5"/>
        <v>Approved</v>
      </c>
    </row>
    <row r="382" spans="1:7">
      <c r="A382" t="str">
        <f>Sheet1!A382</f>
        <v>C381</v>
      </c>
      <c r="B382" t="str">
        <f>Sheet1!B382</f>
        <v>Coleman-Brooks</v>
      </c>
      <c r="C382">
        <f>Sheet1!R382</f>
        <v>67</v>
      </c>
      <c r="D382">
        <f>Sheet1!H382</f>
        <v>0.25</v>
      </c>
      <c r="E382">
        <f>Sheet1!P382</f>
        <v>60</v>
      </c>
      <c r="F382">
        <f>Sheet1!I382</f>
        <v>194622</v>
      </c>
      <c r="G382" t="str">
        <f t="shared" si="5"/>
        <v>Manual Review</v>
      </c>
    </row>
    <row r="383" spans="1:7">
      <c r="A383" t="str">
        <f>Sheet1!A383</f>
        <v>C382</v>
      </c>
      <c r="B383" t="str">
        <f>Sheet1!B383</f>
        <v>Knox-Daniels</v>
      </c>
      <c r="C383">
        <f>Sheet1!R383</f>
        <v>79</v>
      </c>
      <c r="D383">
        <f>Sheet1!H383</f>
        <v>0.18</v>
      </c>
      <c r="E383">
        <f>Sheet1!P383</f>
        <v>81</v>
      </c>
      <c r="F383">
        <f>Sheet1!I383</f>
        <v>723901</v>
      </c>
      <c r="G383" t="str">
        <f t="shared" si="5"/>
        <v>Approved</v>
      </c>
    </row>
    <row r="384" spans="1:7">
      <c r="A384" t="str">
        <f>Sheet1!A384</f>
        <v>C383</v>
      </c>
      <c r="B384" t="str">
        <f>Sheet1!B384</f>
        <v>Thomas PLC</v>
      </c>
      <c r="C384">
        <f>Sheet1!R384</f>
        <v>60</v>
      </c>
      <c r="D384">
        <f>Sheet1!H384</f>
        <v>0.67</v>
      </c>
      <c r="E384">
        <f>Sheet1!P384</f>
        <v>96</v>
      </c>
      <c r="F384">
        <f>Sheet1!I384</f>
        <v>155300</v>
      </c>
      <c r="G384" t="str">
        <f t="shared" si="5"/>
        <v>Manual Review</v>
      </c>
    </row>
    <row r="385" spans="1:7">
      <c r="A385" t="str">
        <f>Sheet1!A385</f>
        <v>C384</v>
      </c>
      <c r="B385" t="str">
        <f>Sheet1!B385</f>
        <v>Dickson and Sons</v>
      </c>
      <c r="C385">
        <f>Sheet1!R385</f>
        <v>68</v>
      </c>
      <c r="D385">
        <f>Sheet1!H385</f>
        <v>0.3</v>
      </c>
      <c r="E385">
        <f>Sheet1!P385</f>
        <v>75</v>
      </c>
      <c r="F385">
        <f>Sheet1!I385</f>
        <v>-7657</v>
      </c>
      <c r="G385" t="str">
        <f t="shared" si="5"/>
        <v>Manual Review</v>
      </c>
    </row>
    <row r="386" spans="1:7">
      <c r="A386" t="str">
        <f>Sheet1!A386</f>
        <v>C385</v>
      </c>
      <c r="B386" t="str">
        <f>Sheet1!B386</f>
        <v>Parsons Ltd</v>
      </c>
      <c r="C386">
        <f>Sheet1!R386</f>
        <v>66</v>
      </c>
      <c r="D386">
        <f>Sheet1!H386</f>
        <v>0.22</v>
      </c>
      <c r="E386">
        <f>Sheet1!P386</f>
        <v>89</v>
      </c>
      <c r="F386">
        <f>Sheet1!I386</f>
        <v>276823</v>
      </c>
      <c r="G386" t="str">
        <f t="shared" ref="G386:G449" si="6">IF(AND(C386&gt;=70,D386&lt;=1,E386&gt;=60),"Approved",IF(OR(C386&lt;50,D386&gt;2),"Rejected","Manual Review"))</f>
        <v>Manual Review</v>
      </c>
    </row>
    <row r="387" spans="1:7">
      <c r="A387" t="str">
        <f>Sheet1!A387</f>
        <v>C386</v>
      </c>
      <c r="B387" t="str">
        <f>Sheet1!B387</f>
        <v>Duncan-Rodriguez</v>
      </c>
      <c r="C387">
        <f>Sheet1!R387</f>
        <v>58</v>
      </c>
      <c r="D387">
        <f>Sheet1!H387</f>
        <v>1.1200000000000001</v>
      </c>
      <c r="E387">
        <f>Sheet1!P387</f>
        <v>74</v>
      </c>
      <c r="F387">
        <f>Sheet1!I387</f>
        <v>776205</v>
      </c>
      <c r="G387" t="str">
        <f t="shared" si="6"/>
        <v>Manual Review</v>
      </c>
    </row>
    <row r="388" spans="1:7">
      <c r="A388" t="str">
        <f>Sheet1!A388</f>
        <v>C387</v>
      </c>
      <c r="B388" t="str">
        <f>Sheet1!B388</f>
        <v>Thornton, Hernandez and Gray</v>
      </c>
      <c r="C388">
        <f>Sheet1!R388</f>
        <v>68</v>
      </c>
      <c r="D388">
        <f>Sheet1!H388</f>
        <v>0.16</v>
      </c>
      <c r="E388">
        <f>Sheet1!P388</f>
        <v>60</v>
      </c>
      <c r="F388">
        <f>Sheet1!I388</f>
        <v>-69921</v>
      </c>
      <c r="G388" t="str">
        <f t="shared" si="6"/>
        <v>Manual Review</v>
      </c>
    </row>
    <row r="389" spans="1:7">
      <c r="A389" t="str">
        <f>Sheet1!A389</f>
        <v>C388</v>
      </c>
      <c r="B389" t="str">
        <f>Sheet1!B389</f>
        <v>Hill Group</v>
      </c>
      <c r="C389">
        <f>Sheet1!R389</f>
        <v>47</v>
      </c>
      <c r="D389">
        <f>Sheet1!H389</f>
        <v>0.83</v>
      </c>
      <c r="E389">
        <f>Sheet1!P389</f>
        <v>72</v>
      </c>
      <c r="F389">
        <f>Sheet1!I389</f>
        <v>535069</v>
      </c>
      <c r="G389" t="str">
        <f t="shared" si="6"/>
        <v>Rejected</v>
      </c>
    </row>
    <row r="390" spans="1:7">
      <c r="A390" t="str">
        <f>Sheet1!A390</f>
        <v>C389</v>
      </c>
      <c r="B390" t="str">
        <f>Sheet1!B390</f>
        <v>Gonzalez, Howell and Castaneda</v>
      </c>
      <c r="C390">
        <f>Sheet1!R390</f>
        <v>66</v>
      </c>
      <c r="D390">
        <f>Sheet1!H390</f>
        <v>0.66</v>
      </c>
      <c r="E390">
        <f>Sheet1!P390</f>
        <v>77</v>
      </c>
      <c r="F390">
        <f>Sheet1!I390</f>
        <v>83491</v>
      </c>
      <c r="G390" t="str">
        <f t="shared" si="6"/>
        <v>Manual Review</v>
      </c>
    </row>
    <row r="391" spans="1:7">
      <c r="A391" t="str">
        <f>Sheet1!A391</f>
        <v>C390</v>
      </c>
      <c r="B391" t="str">
        <f>Sheet1!B391</f>
        <v>Martinez, Byrd and Lopez</v>
      </c>
      <c r="C391">
        <f>Sheet1!R391</f>
        <v>69</v>
      </c>
      <c r="D391">
        <f>Sheet1!H391</f>
        <v>0.19</v>
      </c>
      <c r="E391">
        <f>Sheet1!P391</f>
        <v>60</v>
      </c>
      <c r="F391">
        <f>Sheet1!I391</f>
        <v>-99688</v>
      </c>
      <c r="G391" t="str">
        <f t="shared" si="6"/>
        <v>Manual Review</v>
      </c>
    </row>
    <row r="392" spans="1:7">
      <c r="A392" t="str">
        <f>Sheet1!A392</f>
        <v>C391</v>
      </c>
      <c r="B392" t="str">
        <f>Sheet1!B392</f>
        <v>Neal, Clark and Martin</v>
      </c>
      <c r="C392">
        <f>Sheet1!R392</f>
        <v>47</v>
      </c>
      <c r="D392">
        <f>Sheet1!H392</f>
        <v>1.18</v>
      </c>
      <c r="E392">
        <f>Sheet1!P392</f>
        <v>74</v>
      </c>
      <c r="F392">
        <f>Sheet1!I392</f>
        <v>575535</v>
      </c>
      <c r="G392" t="str">
        <f t="shared" si="6"/>
        <v>Rejected</v>
      </c>
    </row>
    <row r="393" spans="1:7">
      <c r="A393" t="str">
        <f>Sheet1!A393</f>
        <v>C392</v>
      </c>
      <c r="B393" t="str">
        <f>Sheet1!B393</f>
        <v>Williams LLC</v>
      </c>
      <c r="C393">
        <f>Sheet1!R393</f>
        <v>58</v>
      </c>
      <c r="D393">
        <f>Sheet1!H393</f>
        <v>0.66</v>
      </c>
      <c r="E393">
        <f>Sheet1!P393</f>
        <v>64</v>
      </c>
      <c r="F393">
        <f>Sheet1!I393</f>
        <v>875652</v>
      </c>
      <c r="G393" t="str">
        <f t="shared" si="6"/>
        <v>Manual Review</v>
      </c>
    </row>
    <row r="394" spans="1:7">
      <c r="A394" t="str">
        <f>Sheet1!A394</f>
        <v>C393</v>
      </c>
      <c r="B394" t="str">
        <f>Sheet1!B394</f>
        <v>Smith-Tran</v>
      </c>
      <c r="C394">
        <f>Sheet1!R394</f>
        <v>64</v>
      </c>
      <c r="D394">
        <f>Sheet1!H394</f>
        <v>0.11</v>
      </c>
      <c r="E394">
        <f>Sheet1!P394</f>
        <v>65</v>
      </c>
      <c r="F394">
        <f>Sheet1!I394</f>
        <v>931033</v>
      </c>
      <c r="G394" t="str">
        <f t="shared" si="6"/>
        <v>Manual Review</v>
      </c>
    </row>
    <row r="395" spans="1:7">
      <c r="A395" t="str">
        <f>Sheet1!A395</f>
        <v>C394</v>
      </c>
      <c r="B395" t="str">
        <f>Sheet1!B395</f>
        <v>Howard, Rodriguez and Carter</v>
      </c>
      <c r="C395">
        <f>Sheet1!R395</f>
        <v>53</v>
      </c>
      <c r="D395">
        <f>Sheet1!H395</f>
        <v>0.99</v>
      </c>
      <c r="E395">
        <f>Sheet1!P395</f>
        <v>68</v>
      </c>
      <c r="F395">
        <f>Sheet1!I395</f>
        <v>93604</v>
      </c>
      <c r="G395" t="str">
        <f t="shared" si="6"/>
        <v>Manual Review</v>
      </c>
    </row>
    <row r="396" spans="1:7">
      <c r="A396" t="str">
        <f>Sheet1!A396</f>
        <v>C395</v>
      </c>
      <c r="B396" t="str">
        <f>Sheet1!B396</f>
        <v>Martinez-Hernandez</v>
      </c>
      <c r="C396">
        <f>Sheet1!R396</f>
        <v>68</v>
      </c>
      <c r="D396">
        <f>Sheet1!H396</f>
        <v>0.19</v>
      </c>
      <c r="E396">
        <f>Sheet1!P396</f>
        <v>71</v>
      </c>
      <c r="F396">
        <f>Sheet1!I396</f>
        <v>-76025</v>
      </c>
      <c r="G396" t="str">
        <f t="shared" si="6"/>
        <v>Manual Review</v>
      </c>
    </row>
    <row r="397" spans="1:7">
      <c r="A397" t="str">
        <f>Sheet1!A397</f>
        <v>C396</v>
      </c>
      <c r="B397" t="str">
        <f>Sheet1!B397</f>
        <v>Fitzgerald PLC</v>
      </c>
      <c r="C397">
        <f>Sheet1!R397</f>
        <v>71</v>
      </c>
      <c r="D397">
        <f>Sheet1!H397</f>
        <v>0.8</v>
      </c>
      <c r="E397">
        <f>Sheet1!P397</f>
        <v>97</v>
      </c>
      <c r="F397">
        <f>Sheet1!I397</f>
        <v>131597</v>
      </c>
      <c r="G397" t="str">
        <f t="shared" si="6"/>
        <v>Approved</v>
      </c>
    </row>
    <row r="398" spans="1:7">
      <c r="A398" t="str">
        <f>Sheet1!A398</f>
        <v>C397</v>
      </c>
      <c r="B398" t="str">
        <f>Sheet1!B398</f>
        <v>Johnson-Hart</v>
      </c>
      <c r="C398">
        <f>Sheet1!R398</f>
        <v>62</v>
      </c>
      <c r="D398">
        <f>Sheet1!H398</f>
        <v>0.16</v>
      </c>
      <c r="E398">
        <f>Sheet1!P398</f>
        <v>74</v>
      </c>
      <c r="F398">
        <f>Sheet1!I398</f>
        <v>942493</v>
      </c>
      <c r="G398" t="str">
        <f t="shared" si="6"/>
        <v>Manual Review</v>
      </c>
    </row>
    <row r="399" spans="1:7">
      <c r="A399" t="str">
        <f>Sheet1!A399</f>
        <v>C398</v>
      </c>
      <c r="B399" t="str">
        <f>Sheet1!B399</f>
        <v>Grimes, Alvarado and Keller</v>
      </c>
      <c r="C399">
        <f>Sheet1!R399</f>
        <v>58</v>
      </c>
      <c r="D399">
        <f>Sheet1!H399</f>
        <v>1.17</v>
      </c>
      <c r="E399">
        <f>Sheet1!P399</f>
        <v>73</v>
      </c>
      <c r="F399">
        <f>Sheet1!I399</f>
        <v>884576</v>
      </c>
      <c r="G399" t="str">
        <f t="shared" si="6"/>
        <v>Manual Review</v>
      </c>
    </row>
    <row r="400" spans="1:7">
      <c r="A400" t="str">
        <f>Sheet1!A400</f>
        <v>C399</v>
      </c>
      <c r="B400" t="str">
        <f>Sheet1!B400</f>
        <v>Turner-Levine</v>
      </c>
      <c r="C400">
        <f>Sheet1!R400</f>
        <v>59</v>
      </c>
      <c r="D400">
        <f>Sheet1!H400</f>
        <v>0.51</v>
      </c>
      <c r="E400">
        <f>Sheet1!P400</f>
        <v>85</v>
      </c>
      <c r="F400">
        <f>Sheet1!I400</f>
        <v>272773</v>
      </c>
      <c r="G400" t="str">
        <f t="shared" si="6"/>
        <v>Manual Review</v>
      </c>
    </row>
    <row r="401" spans="1:7">
      <c r="A401" t="str">
        <f>Sheet1!A401</f>
        <v>C400</v>
      </c>
      <c r="B401" t="str">
        <f>Sheet1!B401</f>
        <v>Evans-Hull</v>
      </c>
      <c r="C401">
        <f>Sheet1!R401</f>
        <v>67</v>
      </c>
      <c r="D401">
        <f>Sheet1!H401</f>
        <v>0.98</v>
      </c>
      <c r="E401">
        <f>Sheet1!P401</f>
        <v>94</v>
      </c>
      <c r="F401">
        <f>Sheet1!I401</f>
        <v>219032</v>
      </c>
      <c r="G401" t="str">
        <f t="shared" si="6"/>
        <v>Manual Review</v>
      </c>
    </row>
    <row r="402" spans="1:7">
      <c r="A402" t="str">
        <f>Sheet1!A402</f>
        <v>C401</v>
      </c>
      <c r="B402" t="str">
        <f>Sheet1!B402</f>
        <v>Romero, Young and Stewart</v>
      </c>
      <c r="C402">
        <f>Sheet1!R402</f>
        <v>75</v>
      </c>
      <c r="D402">
        <f>Sheet1!H402</f>
        <v>0.48</v>
      </c>
      <c r="E402">
        <f>Sheet1!P402</f>
        <v>77</v>
      </c>
      <c r="F402">
        <f>Sheet1!I402</f>
        <v>703001</v>
      </c>
      <c r="G402" t="str">
        <f t="shared" si="6"/>
        <v>Approved</v>
      </c>
    </row>
    <row r="403" spans="1:7">
      <c r="A403" t="str">
        <f>Sheet1!A403</f>
        <v>C402</v>
      </c>
      <c r="B403" t="str">
        <f>Sheet1!B403</f>
        <v>Thornton Inc</v>
      </c>
      <c r="C403">
        <f>Sheet1!R403</f>
        <v>68</v>
      </c>
      <c r="D403">
        <f>Sheet1!H403</f>
        <v>1.02</v>
      </c>
      <c r="E403">
        <f>Sheet1!P403</f>
        <v>93</v>
      </c>
      <c r="F403">
        <f>Sheet1!I403</f>
        <v>-73049</v>
      </c>
      <c r="G403" t="str">
        <f t="shared" si="6"/>
        <v>Manual Review</v>
      </c>
    </row>
    <row r="404" spans="1:7">
      <c r="A404" t="str">
        <f>Sheet1!A404</f>
        <v>C403</v>
      </c>
      <c r="B404" t="str">
        <f>Sheet1!B404</f>
        <v>Woodard, Diaz and Myers</v>
      </c>
      <c r="C404">
        <f>Sheet1!R404</f>
        <v>45</v>
      </c>
      <c r="D404">
        <f>Sheet1!H404</f>
        <v>0.84</v>
      </c>
      <c r="E404">
        <f>Sheet1!P404</f>
        <v>65</v>
      </c>
      <c r="F404">
        <f>Sheet1!I404</f>
        <v>482991</v>
      </c>
      <c r="G404" t="str">
        <f t="shared" si="6"/>
        <v>Rejected</v>
      </c>
    </row>
    <row r="405" spans="1:7">
      <c r="A405" t="str">
        <f>Sheet1!A405</f>
        <v>C404</v>
      </c>
      <c r="B405" t="str">
        <f>Sheet1!B405</f>
        <v>Burgess-Walker</v>
      </c>
      <c r="C405">
        <f>Sheet1!R405</f>
        <v>53</v>
      </c>
      <c r="D405">
        <f>Sheet1!H405</f>
        <v>1.07</v>
      </c>
      <c r="E405">
        <f>Sheet1!P405</f>
        <v>97</v>
      </c>
      <c r="F405">
        <f>Sheet1!I405</f>
        <v>151535</v>
      </c>
      <c r="G405" t="str">
        <f t="shared" si="6"/>
        <v>Manual Review</v>
      </c>
    </row>
    <row r="406" spans="1:7">
      <c r="A406" t="str">
        <f>Sheet1!A406</f>
        <v>C405</v>
      </c>
      <c r="B406" t="str">
        <f>Sheet1!B406</f>
        <v>Carr Ltd</v>
      </c>
      <c r="C406">
        <f>Sheet1!R406</f>
        <v>66</v>
      </c>
      <c r="D406">
        <f>Sheet1!H406</f>
        <v>0.43</v>
      </c>
      <c r="E406">
        <f>Sheet1!P406</f>
        <v>92</v>
      </c>
      <c r="F406">
        <f>Sheet1!I406</f>
        <v>650702</v>
      </c>
      <c r="G406" t="str">
        <f t="shared" si="6"/>
        <v>Manual Review</v>
      </c>
    </row>
    <row r="407" spans="1:7">
      <c r="A407" t="str">
        <f>Sheet1!A407</f>
        <v>C406</v>
      </c>
      <c r="B407" t="str">
        <f>Sheet1!B407</f>
        <v>Henderson-Vaughn</v>
      </c>
      <c r="C407">
        <f>Sheet1!R407</f>
        <v>62</v>
      </c>
      <c r="D407">
        <f>Sheet1!H407</f>
        <v>1.1100000000000001</v>
      </c>
      <c r="E407">
        <f>Sheet1!P407</f>
        <v>83</v>
      </c>
      <c r="F407">
        <f>Sheet1!I407</f>
        <v>873982</v>
      </c>
      <c r="G407" t="str">
        <f t="shared" si="6"/>
        <v>Manual Review</v>
      </c>
    </row>
    <row r="408" spans="1:7">
      <c r="A408" t="str">
        <f>Sheet1!A408</f>
        <v>C407</v>
      </c>
      <c r="B408" t="str">
        <f>Sheet1!B408</f>
        <v>Matthews and Sons</v>
      </c>
      <c r="C408">
        <f>Sheet1!R408</f>
        <v>57</v>
      </c>
      <c r="D408">
        <f>Sheet1!H408</f>
        <v>0.95</v>
      </c>
      <c r="E408">
        <f>Sheet1!P408</f>
        <v>80</v>
      </c>
      <c r="F408">
        <f>Sheet1!I408</f>
        <v>572006</v>
      </c>
      <c r="G408" t="str">
        <f t="shared" si="6"/>
        <v>Manual Review</v>
      </c>
    </row>
    <row r="409" spans="1:7">
      <c r="A409" t="str">
        <f>Sheet1!A409</f>
        <v>C408</v>
      </c>
      <c r="B409" t="str">
        <f>Sheet1!B409</f>
        <v>Jackson Ltd</v>
      </c>
      <c r="C409">
        <f>Sheet1!R409</f>
        <v>58</v>
      </c>
      <c r="D409">
        <f>Sheet1!H409</f>
        <v>1.1399999999999999</v>
      </c>
      <c r="E409">
        <f>Sheet1!P409</f>
        <v>78</v>
      </c>
      <c r="F409">
        <f>Sheet1!I409</f>
        <v>940322</v>
      </c>
      <c r="G409" t="str">
        <f t="shared" si="6"/>
        <v>Manual Review</v>
      </c>
    </row>
    <row r="410" spans="1:7">
      <c r="A410" t="str">
        <f>Sheet1!A410</f>
        <v>C409</v>
      </c>
      <c r="B410" t="str">
        <f>Sheet1!B410</f>
        <v>Foley Inc</v>
      </c>
      <c r="C410">
        <f>Sheet1!R410</f>
        <v>70</v>
      </c>
      <c r="D410">
        <f>Sheet1!H410</f>
        <v>0.85</v>
      </c>
      <c r="E410">
        <f>Sheet1!P410</f>
        <v>83</v>
      </c>
      <c r="F410">
        <f>Sheet1!I410</f>
        <v>824492</v>
      </c>
      <c r="G410" t="str">
        <f t="shared" si="6"/>
        <v>Approved</v>
      </c>
    </row>
    <row r="411" spans="1:7">
      <c r="A411" t="str">
        <f>Sheet1!A411</f>
        <v>C410</v>
      </c>
      <c r="B411" t="str">
        <f>Sheet1!B411</f>
        <v>Lawson Inc</v>
      </c>
      <c r="C411">
        <f>Sheet1!R411</f>
        <v>63</v>
      </c>
      <c r="D411">
        <f>Sheet1!H411</f>
        <v>0.45</v>
      </c>
      <c r="E411">
        <f>Sheet1!P411</f>
        <v>74</v>
      </c>
      <c r="F411">
        <f>Sheet1!I411</f>
        <v>840500</v>
      </c>
      <c r="G411" t="str">
        <f t="shared" si="6"/>
        <v>Manual Review</v>
      </c>
    </row>
    <row r="412" spans="1:7">
      <c r="A412" t="str">
        <f>Sheet1!A412</f>
        <v>C411</v>
      </c>
      <c r="B412" t="str">
        <f>Sheet1!B412</f>
        <v>Shaw Group</v>
      </c>
      <c r="C412">
        <f>Sheet1!R412</f>
        <v>60</v>
      </c>
      <c r="D412">
        <f>Sheet1!H412</f>
        <v>0.43</v>
      </c>
      <c r="E412">
        <f>Sheet1!P412</f>
        <v>87</v>
      </c>
      <c r="F412">
        <f>Sheet1!I412</f>
        <v>713075</v>
      </c>
      <c r="G412" t="str">
        <f t="shared" si="6"/>
        <v>Manual Review</v>
      </c>
    </row>
    <row r="413" spans="1:7">
      <c r="A413" t="str">
        <f>Sheet1!A413</f>
        <v>C412</v>
      </c>
      <c r="B413" t="str">
        <f>Sheet1!B413</f>
        <v>Gaines, Gonzales and Harrington</v>
      </c>
      <c r="C413">
        <f>Sheet1!R413</f>
        <v>69</v>
      </c>
      <c r="D413">
        <f>Sheet1!H413</f>
        <v>0.2</v>
      </c>
      <c r="E413">
        <f>Sheet1!P413</f>
        <v>88</v>
      </c>
      <c r="F413">
        <f>Sheet1!I413</f>
        <v>693544</v>
      </c>
      <c r="G413" t="str">
        <f t="shared" si="6"/>
        <v>Manual Review</v>
      </c>
    </row>
    <row r="414" spans="1:7">
      <c r="A414" t="str">
        <f>Sheet1!A414</f>
        <v>C413</v>
      </c>
      <c r="B414" t="str">
        <f>Sheet1!B414</f>
        <v>Santos-Torres</v>
      </c>
      <c r="C414">
        <f>Sheet1!R414</f>
        <v>66</v>
      </c>
      <c r="D414">
        <f>Sheet1!H414</f>
        <v>0.45</v>
      </c>
      <c r="E414">
        <f>Sheet1!P414</f>
        <v>96</v>
      </c>
      <c r="F414">
        <f>Sheet1!I414</f>
        <v>16828</v>
      </c>
      <c r="G414" t="str">
        <f t="shared" si="6"/>
        <v>Manual Review</v>
      </c>
    </row>
    <row r="415" spans="1:7">
      <c r="A415" t="str">
        <f>Sheet1!A415</f>
        <v>C414</v>
      </c>
      <c r="B415" t="str">
        <f>Sheet1!B415</f>
        <v>Padilla-Gould</v>
      </c>
      <c r="C415">
        <f>Sheet1!R415</f>
        <v>67</v>
      </c>
      <c r="D415">
        <f>Sheet1!H415</f>
        <v>0.47</v>
      </c>
      <c r="E415">
        <f>Sheet1!P415</f>
        <v>70</v>
      </c>
      <c r="F415">
        <f>Sheet1!I415</f>
        <v>562980</v>
      </c>
      <c r="G415" t="str">
        <f t="shared" si="6"/>
        <v>Manual Review</v>
      </c>
    </row>
    <row r="416" spans="1:7">
      <c r="A416" t="str">
        <f>Sheet1!A416</f>
        <v>C415</v>
      </c>
      <c r="B416" t="str">
        <f>Sheet1!B416</f>
        <v>Joseph, Baxter and Ryan</v>
      </c>
      <c r="C416">
        <f>Sheet1!R416</f>
        <v>70</v>
      </c>
      <c r="D416">
        <f>Sheet1!H416</f>
        <v>0.64</v>
      </c>
      <c r="E416">
        <f>Sheet1!P416</f>
        <v>75</v>
      </c>
      <c r="F416">
        <f>Sheet1!I416</f>
        <v>286324</v>
      </c>
      <c r="G416" t="str">
        <f t="shared" si="6"/>
        <v>Approved</v>
      </c>
    </row>
    <row r="417" spans="1:7">
      <c r="A417" t="str">
        <f>Sheet1!A417</f>
        <v>C416</v>
      </c>
      <c r="B417" t="str">
        <f>Sheet1!B417</f>
        <v>Mack-Avery</v>
      </c>
      <c r="C417">
        <f>Sheet1!R417</f>
        <v>55</v>
      </c>
      <c r="D417">
        <f>Sheet1!H417</f>
        <v>1.1399999999999999</v>
      </c>
      <c r="E417">
        <f>Sheet1!P417</f>
        <v>61</v>
      </c>
      <c r="F417">
        <f>Sheet1!I417</f>
        <v>468069</v>
      </c>
      <c r="G417" t="str">
        <f t="shared" si="6"/>
        <v>Manual Review</v>
      </c>
    </row>
    <row r="418" spans="1:7">
      <c r="A418" t="str">
        <f>Sheet1!A418</f>
        <v>C417</v>
      </c>
      <c r="B418" t="str">
        <f>Sheet1!B418</f>
        <v>Wyatt-Wilson</v>
      </c>
      <c r="C418">
        <f>Sheet1!R418</f>
        <v>63</v>
      </c>
      <c r="D418">
        <f>Sheet1!H418</f>
        <v>0.74</v>
      </c>
      <c r="E418">
        <f>Sheet1!P418</f>
        <v>61</v>
      </c>
      <c r="F418">
        <f>Sheet1!I418</f>
        <v>610913</v>
      </c>
      <c r="G418" t="str">
        <f t="shared" si="6"/>
        <v>Manual Review</v>
      </c>
    </row>
    <row r="419" spans="1:7">
      <c r="A419" t="str">
        <f>Sheet1!A419</f>
        <v>C418</v>
      </c>
      <c r="B419" t="str">
        <f>Sheet1!B419</f>
        <v>Peterson Ltd</v>
      </c>
      <c r="C419">
        <f>Sheet1!R419</f>
        <v>80</v>
      </c>
      <c r="D419">
        <f>Sheet1!H419</f>
        <v>0.1</v>
      </c>
      <c r="E419">
        <f>Sheet1!P419</f>
        <v>66</v>
      </c>
      <c r="F419">
        <f>Sheet1!I419</f>
        <v>-23493</v>
      </c>
      <c r="G419" t="str">
        <f t="shared" si="6"/>
        <v>Approved</v>
      </c>
    </row>
    <row r="420" spans="1:7">
      <c r="A420" t="str">
        <f>Sheet1!A420</f>
        <v>C419</v>
      </c>
      <c r="B420" t="str">
        <f>Sheet1!B420</f>
        <v>Manning and Sons</v>
      </c>
      <c r="C420">
        <f>Sheet1!R420</f>
        <v>58</v>
      </c>
      <c r="D420">
        <f>Sheet1!H420</f>
        <v>0.71</v>
      </c>
      <c r="E420">
        <f>Sheet1!P420</f>
        <v>82</v>
      </c>
      <c r="F420">
        <f>Sheet1!I420</f>
        <v>397301</v>
      </c>
      <c r="G420" t="str">
        <f t="shared" si="6"/>
        <v>Manual Review</v>
      </c>
    </row>
    <row r="421" spans="1:7">
      <c r="A421" t="str">
        <f>Sheet1!A421</f>
        <v>C420</v>
      </c>
      <c r="B421" t="str">
        <f>Sheet1!B421</f>
        <v>White and Sons</v>
      </c>
      <c r="C421">
        <f>Sheet1!R421</f>
        <v>63</v>
      </c>
      <c r="D421">
        <f>Sheet1!H421</f>
        <v>0.45</v>
      </c>
      <c r="E421">
        <f>Sheet1!P421</f>
        <v>93</v>
      </c>
      <c r="F421">
        <f>Sheet1!I421</f>
        <v>-76493</v>
      </c>
      <c r="G421" t="str">
        <f t="shared" si="6"/>
        <v>Manual Review</v>
      </c>
    </row>
    <row r="422" spans="1:7">
      <c r="A422" t="str">
        <f>Sheet1!A422</f>
        <v>C421</v>
      </c>
      <c r="B422" t="str">
        <f>Sheet1!B422</f>
        <v>Briggs-Strong</v>
      </c>
      <c r="C422">
        <f>Sheet1!R422</f>
        <v>55</v>
      </c>
      <c r="D422">
        <f>Sheet1!H422</f>
        <v>0.86</v>
      </c>
      <c r="E422">
        <f>Sheet1!P422</f>
        <v>60</v>
      </c>
      <c r="F422">
        <f>Sheet1!I422</f>
        <v>401787</v>
      </c>
      <c r="G422" t="str">
        <f t="shared" si="6"/>
        <v>Manual Review</v>
      </c>
    </row>
    <row r="423" spans="1:7">
      <c r="A423" t="str">
        <f>Sheet1!A423</f>
        <v>C422</v>
      </c>
      <c r="B423" t="str">
        <f>Sheet1!B423</f>
        <v>Thompson Inc</v>
      </c>
      <c r="C423">
        <f>Sheet1!R423</f>
        <v>77</v>
      </c>
      <c r="D423">
        <f>Sheet1!H423</f>
        <v>0.34</v>
      </c>
      <c r="E423">
        <f>Sheet1!P423</f>
        <v>97</v>
      </c>
      <c r="F423">
        <f>Sheet1!I423</f>
        <v>626198</v>
      </c>
      <c r="G423" t="str">
        <f t="shared" si="6"/>
        <v>Approved</v>
      </c>
    </row>
    <row r="424" spans="1:7">
      <c r="A424" t="str">
        <f>Sheet1!A424</f>
        <v>C423</v>
      </c>
      <c r="B424" t="str">
        <f>Sheet1!B424</f>
        <v>Smith and Sons</v>
      </c>
      <c r="C424">
        <f>Sheet1!R424</f>
        <v>85</v>
      </c>
      <c r="D424">
        <f>Sheet1!H424</f>
        <v>0.15</v>
      </c>
      <c r="E424">
        <f>Sheet1!P424</f>
        <v>97</v>
      </c>
      <c r="F424">
        <f>Sheet1!I424</f>
        <v>242249</v>
      </c>
      <c r="G424" t="str">
        <f t="shared" si="6"/>
        <v>Approved</v>
      </c>
    </row>
    <row r="425" spans="1:7">
      <c r="A425" t="str">
        <f>Sheet1!A425</f>
        <v>C424</v>
      </c>
      <c r="B425" t="str">
        <f>Sheet1!B425</f>
        <v>Moody-Stevenson</v>
      </c>
      <c r="C425">
        <f>Sheet1!R425</f>
        <v>82</v>
      </c>
      <c r="D425">
        <f>Sheet1!H425</f>
        <v>0.13</v>
      </c>
      <c r="E425">
        <f>Sheet1!P425</f>
        <v>96</v>
      </c>
      <c r="F425">
        <f>Sheet1!I425</f>
        <v>354296</v>
      </c>
      <c r="G425" t="str">
        <f t="shared" si="6"/>
        <v>Approved</v>
      </c>
    </row>
    <row r="426" spans="1:7">
      <c r="A426" t="str">
        <f>Sheet1!A426</f>
        <v>C425</v>
      </c>
      <c r="B426" t="str">
        <f>Sheet1!B426</f>
        <v>Perez Inc</v>
      </c>
      <c r="C426">
        <f>Sheet1!R426</f>
        <v>70</v>
      </c>
      <c r="D426">
        <f>Sheet1!H426</f>
        <v>0.41</v>
      </c>
      <c r="E426">
        <f>Sheet1!P426</f>
        <v>84</v>
      </c>
      <c r="F426">
        <f>Sheet1!I426</f>
        <v>121345</v>
      </c>
      <c r="G426" t="str">
        <f t="shared" si="6"/>
        <v>Approved</v>
      </c>
    </row>
    <row r="427" spans="1:7">
      <c r="A427" t="str">
        <f>Sheet1!A427</f>
        <v>C426</v>
      </c>
      <c r="B427" t="str">
        <f>Sheet1!B427</f>
        <v>Smith and Sons</v>
      </c>
      <c r="C427">
        <f>Sheet1!R427</f>
        <v>63</v>
      </c>
      <c r="D427">
        <f>Sheet1!H427</f>
        <v>0.49</v>
      </c>
      <c r="E427">
        <f>Sheet1!P427</f>
        <v>78</v>
      </c>
      <c r="F427">
        <f>Sheet1!I427</f>
        <v>529949</v>
      </c>
      <c r="G427" t="str">
        <f t="shared" si="6"/>
        <v>Manual Review</v>
      </c>
    </row>
    <row r="428" spans="1:7">
      <c r="A428" t="str">
        <f>Sheet1!A428</f>
        <v>C427</v>
      </c>
      <c r="B428" t="str">
        <f>Sheet1!B428</f>
        <v>Thomas PLC</v>
      </c>
      <c r="C428">
        <f>Sheet1!R428</f>
        <v>66</v>
      </c>
      <c r="D428">
        <f>Sheet1!H428</f>
        <v>0.63</v>
      </c>
      <c r="E428">
        <f>Sheet1!P428</f>
        <v>62</v>
      </c>
      <c r="F428">
        <f>Sheet1!I428</f>
        <v>-20920</v>
      </c>
      <c r="G428" t="str">
        <f t="shared" si="6"/>
        <v>Manual Review</v>
      </c>
    </row>
    <row r="429" spans="1:7">
      <c r="A429" t="str">
        <f>Sheet1!A429</f>
        <v>C428</v>
      </c>
      <c r="B429" t="str">
        <f>Sheet1!B429</f>
        <v>Jones-Walker</v>
      </c>
      <c r="C429">
        <f>Sheet1!R429</f>
        <v>63</v>
      </c>
      <c r="D429">
        <f>Sheet1!H429</f>
        <v>0.73</v>
      </c>
      <c r="E429">
        <f>Sheet1!P429</f>
        <v>66</v>
      </c>
      <c r="F429">
        <f>Sheet1!I429</f>
        <v>468011</v>
      </c>
      <c r="G429" t="str">
        <f t="shared" si="6"/>
        <v>Manual Review</v>
      </c>
    </row>
    <row r="430" spans="1:7">
      <c r="A430" t="str">
        <f>Sheet1!A430</f>
        <v>C429</v>
      </c>
      <c r="B430" t="str">
        <f>Sheet1!B430</f>
        <v>Smith and Sons</v>
      </c>
      <c r="C430">
        <f>Sheet1!R430</f>
        <v>58</v>
      </c>
      <c r="D430">
        <f>Sheet1!H430</f>
        <v>0.72</v>
      </c>
      <c r="E430">
        <f>Sheet1!P430</f>
        <v>79</v>
      </c>
      <c r="F430">
        <f>Sheet1!I430</f>
        <v>234221</v>
      </c>
      <c r="G430" t="str">
        <f t="shared" si="6"/>
        <v>Manual Review</v>
      </c>
    </row>
    <row r="431" spans="1:7">
      <c r="A431" t="str">
        <f>Sheet1!A431</f>
        <v>C430</v>
      </c>
      <c r="B431" t="str">
        <f>Sheet1!B431</f>
        <v>Jones and Sons</v>
      </c>
      <c r="C431">
        <f>Sheet1!R431</f>
        <v>85</v>
      </c>
      <c r="D431">
        <f>Sheet1!H431</f>
        <v>0.12</v>
      </c>
      <c r="E431">
        <f>Sheet1!P431</f>
        <v>99</v>
      </c>
      <c r="F431">
        <f>Sheet1!I431</f>
        <v>574834</v>
      </c>
      <c r="G431" t="str">
        <f t="shared" si="6"/>
        <v>Approved</v>
      </c>
    </row>
    <row r="432" spans="1:7">
      <c r="A432" t="str">
        <f>Sheet1!A432</f>
        <v>C431</v>
      </c>
      <c r="B432" t="str">
        <f>Sheet1!B432</f>
        <v>Mcconnell Inc</v>
      </c>
      <c r="C432">
        <f>Sheet1!R432</f>
        <v>78</v>
      </c>
      <c r="D432">
        <f>Sheet1!H432</f>
        <v>0.5</v>
      </c>
      <c r="E432">
        <f>Sheet1!P432</f>
        <v>91</v>
      </c>
      <c r="F432">
        <f>Sheet1!I432</f>
        <v>601395</v>
      </c>
      <c r="G432" t="str">
        <f t="shared" si="6"/>
        <v>Approved</v>
      </c>
    </row>
    <row r="433" spans="1:7">
      <c r="A433" t="str">
        <f>Sheet1!A433</f>
        <v>C432</v>
      </c>
      <c r="B433" t="str">
        <f>Sheet1!B433</f>
        <v>Smith-Benton</v>
      </c>
      <c r="C433">
        <f>Sheet1!R433</f>
        <v>73</v>
      </c>
      <c r="D433">
        <f>Sheet1!H433</f>
        <v>0.51</v>
      </c>
      <c r="E433">
        <f>Sheet1!P433</f>
        <v>90</v>
      </c>
      <c r="F433">
        <f>Sheet1!I433</f>
        <v>964540</v>
      </c>
      <c r="G433" t="str">
        <f t="shared" si="6"/>
        <v>Approved</v>
      </c>
    </row>
    <row r="434" spans="1:7">
      <c r="A434" t="str">
        <f>Sheet1!A434</f>
        <v>C433</v>
      </c>
      <c r="B434" t="str">
        <f>Sheet1!B434</f>
        <v>Summers-Lewis</v>
      </c>
      <c r="C434">
        <f>Sheet1!R434</f>
        <v>81</v>
      </c>
      <c r="D434">
        <f>Sheet1!H434</f>
        <v>0.2</v>
      </c>
      <c r="E434">
        <f>Sheet1!P434</f>
        <v>89</v>
      </c>
      <c r="F434">
        <f>Sheet1!I434</f>
        <v>271665</v>
      </c>
      <c r="G434" t="str">
        <f t="shared" si="6"/>
        <v>Approved</v>
      </c>
    </row>
    <row r="435" spans="1:7">
      <c r="A435" t="str">
        <f>Sheet1!A435</f>
        <v>C434</v>
      </c>
      <c r="B435" t="str">
        <f>Sheet1!B435</f>
        <v>Harmon, Stephens and Nelson</v>
      </c>
      <c r="C435">
        <f>Sheet1!R435</f>
        <v>69</v>
      </c>
      <c r="D435">
        <f>Sheet1!H435</f>
        <v>0.68</v>
      </c>
      <c r="E435">
        <f>Sheet1!P435</f>
        <v>88</v>
      </c>
      <c r="F435">
        <f>Sheet1!I435</f>
        <v>-22427</v>
      </c>
      <c r="G435" t="str">
        <f t="shared" si="6"/>
        <v>Manual Review</v>
      </c>
    </row>
    <row r="436" spans="1:7">
      <c r="A436" t="str">
        <f>Sheet1!A436</f>
        <v>C435</v>
      </c>
      <c r="B436" t="str">
        <f>Sheet1!B436</f>
        <v>Smith-Becker</v>
      </c>
      <c r="C436">
        <f>Sheet1!R436</f>
        <v>66</v>
      </c>
      <c r="D436">
        <f>Sheet1!H436</f>
        <v>0.37</v>
      </c>
      <c r="E436">
        <f>Sheet1!P436</f>
        <v>66</v>
      </c>
      <c r="F436">
        <f>Sheet1!I436</f>
        <v>633531</v>
      </c>
      <c r="G436" t="str">
        <f t="shared" si="6"/>
        <v>Manual Review</v>
      </c>
    </row>
    <row r="437" spans="1:7">
      <c r="A437" t="str">
        <f>Sheet1!A437</f>
        <v>C436</v>
      </c>
      <c r="B437" t="str">
        <f>Sheet1!B437</f>
        <v>Turner PLC</v>
      </c>
      <c r="C437">
        <f>Sheet1!R437</f>
        <v>71</v>
      </c>
      <c r="D437">
        <f>Sheet1!H437</f>
        <v>0.39</v>
      </c>
      <c r="E437">
        <f>Sheet1!P437</f>
        <v>92</v>
      </c>
      <c r="F437">
        <f>Sheet1!I437</f>
        <v>379282</v>
      </c>
      <c r="G437" t="str">
        <f t="shared" si="6"/>
        <v>Approved</v>
      </c>
    </row>
    <row r="438" spans="1:7">
      <c r="A438" t="str">
        <f>Sheet1!A438</f>
        <v>C437</v>
      </c>
      <c r="B438" t="str">
        <f>Sheet1!B438</f>
        <v>Jones-Garza</v>
      </c>
      <c r="C438">
        <f>Sheet1!R438</f>
        <v>62</v>
      </c>
      <c r="D438">
        <f>Sheet1!H438</f>
        <v>1.08</v>
      </c>
      <c r="E438">
        <f>Sheet1!P438</f>
        <v>87</v>
      </c>
      <c r="F438">
        <f>Sheet1!I438</f>
        <v>590408</v>
      </c>
      <c r="G438" t="str">
        <f t="shared" si="6"/>
        <v>Manual Review</v>
      </c>
    </row>
    <row r="439" spans="1:7">
      <c r="A439" t="str">
        <f>Sheet1!A439</f>
        <v>C438</v>
      </c>
      <c r="B439" t="str">
        <f>Sheet1!B439</f>
        <v>Leach-Durham</v>
      </c>
      <c r="C439">
        <f>Sheet1!R439</f>
        <v>49</v>
      </c>
      <c r="D439">
        <f>Sheet1!H439</f>
        <v>0.79</v>
      </c>
      <c r="E439">
        <f>Sheet1!P439</f>
        <v>78</v>
      </c>
      <c r="F439">
        <f>Sheet1!I439</f>
        <v>14689</v>
      </c>
      <c r="G439" t="str">
        <f t="shared" si="6"/>
        <v>Rejected</v>
      </c>
    </row>
    <row r="440" spans="1:7">
      <c r="A440" t="str">
        <f>Sheet1!A440</f>
        <v>C439</v>
      </c>
      <c r="B440" t="str">
        <f>Sheet1!B440</f>
        <v>Collins, Parker and Butler</v>
      </c>
      <c r="C440">
        <f>Sheet1!R440</f>
        <v>65</v>
      </c>
      <c r="D440">
        <f>Sheet1!H440</f>
        <v>0.73</v>
      </c>
      <c r="E440">
        <f>Sheet1!P440</f>
        <v>69</v>
      </c>
      <c r="F440">
        <f>Sheet1!I440</f>
        <v>978629</v>
      </c>
      <c r="G440" t="str">
        <f t="shared" si="6"/>
        <v>Manual Review</v>
      </c>
    </row>
    <row r="441" spans="1:7">
      <c r="A441" t="str">
        <f>Sheet1!A441</f>
        <v>C440</v>
      </c>
      <c r="B441" t="str">
        <f>Sheet1!B441</f>
        <v>Gibson Group</v>
      </c>
      <c r="C441">
        <f>Sheet1!R441</f>
        <v>60</v>
      </c>
      <c r="D441">
        <f>Sheet1!H441</f>
        <v>1.0900000000000001</v>
      </c>
      <c r="E441">
        <f>Sheet1!P441</f>
        <v>79</v>
      </c>
      <c r="F441">
        <f>Sheet1!I441</f>
        <v>265916</v>
      </c>
      <c r="G441" t="str">
        <f t="shared" si="6"/>
        <v>Manual Review</v>
      </c>
    </row>
    <row r="442" spans="1:7">
      <c r="A442" t="str">
        <f>Sheet1!A442</f>
        <v>C441</v>
      </c>
      <c r="B442" t="str">
        <f>Sheet1!B442</f>
        <v>Morales-Walton</v>
      </c>
      <c r="C442">
        <f>Sheet1!R442</f>
        <v>64</v>
      </c>
      <c r="D442">
        <f>Sheet1!H442</f>
        <v>0.34</v>
      </c>
      <c r="E442">
        <f>Sheet1!P442</f>
        <v>64</v>
      </c>
      <c r="F442">
        <f>Sheet1!I442</f>
        <v>730513</v>
      </c>
      <c r="G442" t="str">
        <f t="shared" si="6"/>
        <v>Manual Review</v>
      </c>
    </row>
    <row r="443" spans="1:7">
      <c r="A443" t="str">
        <f>Sheet1!A443</f>
        <v>C442</v>
      </c>
      <c r="B443" t="str">
        <f>Sheet1!B443</f>
        <v>Price and Sons</v>
      </c>
      <c r="C443">
        <f>Sheet1!R443</f>
        <v>68</v>
      </c>
      <c r="D443">
        <f>Sheet1!H443</f>
        <v>0.56999999999999995</v>
      </c>
      <c r="E443">
        <f>Sheet1!P443</f>
        <v>61</v>
      </c>
      <c r="F443">
        <f>Sheet1!I443</f>
        <v>664683</v>
      </c>
      <c r="G443" t="str">
        <f t="shared" si="6"/>
        <v>Manual Review</v>
      </c>
    </row>
    <row r="444" spans="1:7">
      <c r="A444" t="str">
        <f>Sheet1!A444</f>
        <v>C443</v>
      </c>
      <c r="B444" t="str">
        <f>Sheet1!B444</f>
        <v>Miles, Taylor and Pearson</v>
      </c>
      <c r="C444">
        <f>Sheet1!R444</f>
        <v>62</v>
      </c>
      <c r="D444">
        <f>Sheet1!H444</f>
        <v>0.36</v>
      </c>
      <c r="E444">
        <f>Sheet1!P444</f>
        <v>87</v>
      </c>
      <c r="F444">
        <f>Sheet1!I444</f>
        <v>-46786</v>
      </c>
      <c r="G444" t="str">
        <f t="shared" si="6"/>
        <v>Manual Review</v>
      </c>
    </row>
    <row r="445" spans="1:7">
      <c r="A445" t="str">
        <f>Sheet1!A445</f>
        <v>C444</v>
      </c>
      <c r="B445" t="str">
        <f>Sheet1!B445</f>
        <v>Palmer-Duke</v>
      </c>
      <c r="C445">
        <f>Sheet1!R445</f>
        <v>66</v>
      </c>
      <c r="D445">
        <f>Sheet1!H445</f>
        <v>0.46</v>
      </c>
      <c r="E445">
        <f>Sheet1!P445</f>
        <v>92</v>
      </c>
      <c r="F445">
        <f>Sheet1!I445</f>
        <v>487769</v>
      </c>
      <c r="G445" t="str">
        <f t="shared" si="6"/>
        <v>Manual Review</v>
      </c>
    </row>
    <row r="446" spans="1:7">
      <c r="A446" t="str">
        <f>Sheet1!A446</f>
        <v>C445</v>
      </c>
      <c r="B446" t="str">
        <f>Sheet1!B446</f>
        <v>Miller, Flores and Leblanc</v>
      </c>
      <c r="C446">
        <f>Sheet1!R446</f>
        <v>48</v>
      </c>
      <c r="D446">
        <f>Sheet1!H446</f>
        <v>0.98</v>
      </c>
      <c r="E446">
        <f>Sheet1!P446</f>
        <v>77</v>
      </c>
      <c r="F446">
        <f>Sheet1!I446</f>
        <v>-53769</v>
      </c>
      <c r="G446" t="str">
        <f t="shared" si="6"/>
        <v>Rejected</v>
      </c>
    </row>
    <row r="447" spans="1:7">
      <c r="A447" t="str">
        <f>Sheet1!A447</f>
        <v>C446</v>
      </c>
      <c r="B447" t="str">
        <f>Sheet1!B447</f>
        <v>Brown and Sons</v>
      </c>
      <c r="C447">
        <f>Sheet1!R447</f>
        <v>71</v>
      </c>
      <c r="D447">
        <f>Sheet1!H447</f>
        <v>0.27</v>
      </c>
      <c r="E447">
        <f>Sheet1!P447</f>
        <v>60</v>
      </c>
      <c r="F447">
        <f>Sheet1!I447</f>
        <v>10134</v>
      </c>
      <c r="G447" t="str">
        <f t="shared" si="6"/>
        <v>Approved</v>
      </c>
    </row>
    <row r="448" spans="1:7">
      <c r="A448" t="str">
        <f>Sheet1!A448</f>
        <v>C447</v>
      </c>
      <c r="B448" t="str">
        <f>Sheet1!B448</f>
        <v>Anthony-Thomas</v>
      </c>
      <c r="C448">
        <f>Sheet1!R448</f>
        <v>59</v>
      </c>
      <c r="D448">
        <f>Sheet1!H448</f>
        <v>1</v>
      </c>
      <c r="E448">
        <f>Sheet1!P448</f>
        <v>89</v>
      </c>
      <c r="F448">
        <f>Sheet1!I448</f>
        <v>418892</v>
      </c>
      <c r="G448" t="str">
        <f t="shared" si="6"/>
        <v>Manual Review</v>
      </c>
    </row>
    <row r="449" spans="1:7">
      <c r="A449" t="str">
        <f>Sheet1!A449</f>
        <v>C448</v>
      </c>
      <c r="B449" t="str">
        <f>Sheet1!B449</f>
        <v>Barker-Owens</v>
      </c>
      <c r="C449">
        <f>Sheet1!R449</f>
        <v>76</v>
      </c>
      <c r="D449">
        <f>Sheet1!H449</f>
        <v>0.2</v>
      </c>
      <c r="E449">
        <f>Sheet1!P449</f>
        <v>94</v>
      </c>
      <c r="F449">
        <f>Sheet1!I449</f>
        <v>553560</v>
      </c>
      <c r="G449" t="str">
        <f t="shared" si="6"/>
        <v>Approved</v>
      </c>
    </row>
    <row r="450" spans="1:7">
      <c r="A450" t="str">
        <f>Sheet1!A450</f>
        <v>C449</v>
      </c>
      <c r="B450" t="str">
        <f>Sheet1!B450</f>
        <v>Bell-Oconnor</v>
      </c>
      <c r="C450">
        <f>Sheet1!R450</f>
        <v>76</v>
      </c>
      <c r="D450">
        <f>Sheet1!H450</f>
        <v>0.13</v>
      </c>
      <c r="E450">
        <f>Sheet1!P450</f>
        <v>79</v>
      </c>
      <c r="F450">
        <f>Sheet1!I450</f>
        <v>266355</v>
      </c>
      <c r="G450" t="str">
        <f t="shared" ref="G450:G501" si="7">IF(AND(C450&gt;=70,D450&lt;=1,E450&gt;=60),"Approved",IF(OR(C450&lt;50,D450&gt;2),"Rejected","Manual Review"))</f>
        <v>Approved</v>
      </c>
    </row>
    <row r="451" spans="1:7">
      <c r="A451" t="str">
        <f>Sheet1!A451</f>
        <v>C450</v>
      </c>
      <c r="B451" t="str">
        <f>Sheet1!B451</f>
        <v>Solis-Perkins</v>
      </c>
      <c r="C451">
        <f>Sheet1!R451</f>
        <v>54</v>
      </c>
      <c r="D451">
        <f>Sheet1!H451</f>
        <v>0.92</v>
      </c>
      <c r="E451">
        <f>Sheet1!P451</f>
        <v>76</v>
      </c>
      <c r="F451">
        <f>Sheet1!I451</f>
        <v>78861</v>
      </c>
      <c r="G451" t="str">
        <f t="shared" si="7"/>
        <v>Manual Review</v>
      </c>
    </row>
    <row r="452" spans="1:7">
      <c r="A452" t="str">
        <f>Sheet1!A452</f>
        <v>C451</v>
      </c>
      <c r="B452" t="str">
        <f>Sheet1!B452</f>
        <v>Hernandez-Ewing</v>
      </c>
      <c r="C452">
        <f>Sheet1!R452</f>
        <v>59</v>
      </c>
      <c r="D452">
        <f>Sheet1!H452</f>
        <v>0.27</v>
      </c>
      <c r="E452">
        <f>Sheet1!P452</f>
        <v>62</v>
      </c>
      <c r="F452">
        <f>Sheet1!I452</f>
        <v>786066</v>
      </c>
      <c r="G452" t="str">
        <f t="shared" si="7"/>
        <v>Manual Review</v>
      </c>
    </row>
    <row r="453" spans="1:7">
      <c r="A453" t="str">
        <f>Sheet1!A453</f>
        <v>C452</v>
      </c>
      <c r="B453" t="str">
        <f>Sheet1!B453</f>
        <v>Christensen Group</v>
      </c>
      <c r="C453">
        <f>Sheet1!R453</f>
        <v>63</v>
      </c>
      <c r="D453">
        <f>Sheet1!H453</f>
        <v>0.83</v>
      </c>
      <c r="E453">
        <f>Sheet1!P453</f>
        <v>87</v>
      </c>
      <c r="F453">
        <f>Sheet1!I453</f>
        <v>264921</v>
      </c>
      <c r="G453" t="str">
        <f t="shared" si="7"/>
        <v>Manual Review</v>
      </c>
    </row>
    <row r="454" spans="1:7">
      <c r="A454" t="str">
        <f>Sheet1!A454</f>
        <v>C453</v>
      </c>
      <c r="B454" t="str">
        <f>Sheet1!B454</f>
        <v>Reyes and Sons</v>
      </c>
      <c r="C454">
        <f>Sheet1!R454</f>
        <v>64</v>
      </c>
      <c r="D454">
        <f>Sheet1!H454</f>
        <v>0.11</v>
      </c>
      <c r="E454">
        <f>Sheet1!P454</f>
        <v>80</v>
      </c>
      <c r="F454">
        <f>Sheet1!I454</f>
        <v>17491</v>
      </c>
      <c r="G454" t="str">
        <f t="shared" si="7"/>
        <v>Manual Review</v>
      </c>
    </row>
    <row r="455" spans="1:7">
      <c r="A455" t="str">
        <f>Sheet1!A455</f>
        <v>C454</v>
      </c>
      <c r="B455" t="str">
        <f>Sheet1!B455</f>
        <v>Dunlap PLC</v>
      </c>
      <c r="C455">
        <f>Sheet1!R455</f>
        <v>76</v>
      </c>
      <c r="D455">
        <f>Sheet1!H455</f>
        <v>0.43</v>
      </c>
      <c r="E455">
        <f>Sheet1!P455</f>
        <v>88</v>
      </c>
      <c r="F455">
        <f>Sheet1!I455</f>
        <v>665473</v>
      </c>
      <c r="G455" t="str">
        <f t="shared" si="7"/>
        <v>Approved</v>
      </c>
    </row>
    <row r="456" spans="1:7">
      <c r="A456" t="str">
        <f>Sheet1!A456</f>
        <v>C455</v>
      </c>
      <c r="B456" t="str">
        <f>Sheet1!B456</f>
        <v>Garcia LLC</v>
      </c>
      <c r="C456">
        <f>Sheet1!R456</f>
        <v>60</v>
      </c>
      <c r="D456">
        <f>Sheet1!H456</f>
        <v>0.95</v>
      </c>
      <c r="E456">
        <f>Sheet1!P456</f>
        <v>67</v>
      </c>
      <c r="F456">
        <f>Sheet1!I456</f>
        <v>673645</v>
      </c>
      <c r="G456" t="str">
        <f t="shared" si="7"/>
        <v>Manual Review</v>
      </c>
    </row>
    <row r="457" spans="1:7">
      <c r="A457" t="str">
        <f>Sheet1!A457</f>
        <v>C456</v>
      </c>
      <c r="B457" t="str">
        <f>Sheet1!B457</f>
        <v>Perez and Sons</v>
      </c>
      <c r="C457">
        <f>Sheet1!R457</f>
        <v>52</v>
      </c>
      <c r="D457">
        <f>Sheet1!H457</f>
        <v>0.66</v>
      </c>
      <c r="E457">
        <f>Sheet1!P457</f>
        <v>63</v>
      </c>
      <c r="F457">
        <f>Sheet1!I457</f>
        <v>552369</v>
      </c>
      <c r="G457" t="str">
        <f t="shared" si="7"/>
        <v>Manual Review</v>
      </c>
    </row>
    <row r="458" spans="1:7">
      <c r="A458" t="str">
        <f>Sheet1!A458</f>
        <v>C457</v>
      </c>
      <c r="B458" t="str">
        <f>Sheet1!B458</f>
        <v>Weaver LLC</v>
      </c>
      <c r="C458">
        <f>Sheet1!R458</f>
        <v>59</v>
      </c>
      <c r="D458">
        <f>Sheet1!H458</f>
        <v>1.05</v>
      </c>
      <c r="E458">
        <f>Sheet1!P458</f>
        <v>63</v>
      </c>
      <c r="F458">
        <f>Sheet1!I458</f>
        <v>95965</v>
      </c>
      <c r="G458" t="str">
        <f t="shared" si="7"/>
        <v>Manual Review</v>
      </c>
    </row>
    <row r="459" spans="1:7">
      <c r="A459" t="str">
        <f>Sheet1!A459</f>
        <v>C458</v>
      </c>
      <c r="B459" t="str">
        <f>Sheet1!B459</f>
        <v>Harris and Sons</v>
      </c>
      <c r="C459">
        <f>Sheet1!R459</f>
        <v>64</v>
      </c>
      <c r="D459">
        <f>Sheet1!H459</f>
        <v>1.2</v>
      </c>
      <c r="E459">
        <f>Sheet1!P459</f>
        <v>93</v>
      </c>
      <c r="F459">
        <f>Sheet1!I459</f>
        <v>280460</v>
      </c>
      <c r="G459" t="str">
        <f t="shared" si="7"/>
        <v>Manual Review</v>
      </c>
    </row>
    <row r="460" spans="1:7">
      <c r="A460" t="str">
        <f>Sheet1!A460</f>
        <v>C459</v>
      </c>
      <c r="B460" t="str">
        <f>Sheet1!B460</f>
        <v>Jackson, Harper and Velez</v>
      </c>
      <c r="C460">
        <f>Sheet1!R460</f>
        <v>67</v>
      </c>
      <c r="D460">
        <f>Sheet1!H460</f>
        <v>0.32</v>
      </c>
      <c r="E460">
        <f>Sheet1!P460</f>
        <v>67</v>
      </c>
      <c r="F460">
        <f>Sheet1!I460</f>
        <v>44056</v>
      </c>
      <c r="G460" t="str">
        <f t="shared" si="7"/>
        <v>Manual Review</v>
      </c>
    </row>
    <row r="461" spans="1:7">
      <c r="A461" t="str">
        <f>Sheet1!A461</f>
        <v>C460</v>
      </c>
      <c r="B461" t="str">
        <f>Sheet1!B461</f>
        <v>Arnold Group</v>
      </c>
      <c r="C461">
        <f>Sheet1!R461</f>
        <v>57</v>
      </c>
      <c r="D461">
        <f>Sheet1!H461</f>
        <v>0.64</v>
      </c>
      <c r="E461">
        <f>Sheet1!P461</f>
        <v>86</v>
      </c>
      <c r="F461">
        <f>Sheet1!I461</f>
        <v>785838</v>
      </c>
      <c r="G461" t="str">
        <f t="shared" si="7"/>
        <v>Manual Review</v>
      </c>
    </row>
    <row r="462" spans="1:7">
      <c r="A462" t="str">
        <f>Sheet1!A462</f>
        <v>C461</v>
      </c>
      <c r="B462" t="str">
        <f>Sheet1!B462</f>
        <v>Farrell, Quinn and Bruce</v>
      </c>
      <c r="C462">
        <f>Sheet1!R462</f>
        <v>62</v>
      </c>
      <c r="D462">
        <f>Sheet1!H462</f>
        <v>0.82</v>
      </c>
      <c r="E462">
        <f>Sheet1!P462</f>
        <v>75</v>
      </c>
      <c r="F462">
        <f>Sheet1!I462</f>
        <v>375796</v>
      </c>
      <c r="G462" t="str">
        <f t="shared" si="7"/>
        <v>Manual Review</v>
      </c>
    </row>
    <row r="463" spans="1:7">
      <c r="A463" t="str">
        <f>Sheet1!A463</f>
        <v>C462</v>
      </c>
      <c r="B463" t="str">
        <f>Sheet1!B463</f>
        <v>Franklin and Sons</v>
      </c>
      <c r="C463">
        <f>Sheet1!R463</f>
        <v>70</v>
      </c>
      <c r="D463">
        <f>Sheet1!H463</f>
        <v>0.56000000000000005</v>
      </c>
      <c r="E463">
        <f>Sheet1!P463</f>
        <v>84</v>
      </c>
      <c r="F463">
        <f>Sheet1!I463</f>
        <v>860830</v>
      </c>
      <c r="G463" t="str">
        <f t="shared" si="7"/>
        <v>Approved</v>
      </c>
    </row>
    <row r="464" spans="1:7">
      <c r="A464" t="str">
        <f>Sheet1!A464</f>
        <v>C463</v>
      </c>
      <c r="B464" t="str">
        <f>Sheet1!B464</f>
        <v>Coffey and Sons</v>
      </c>
      <c r="C464">
        <f>Sheet1!R464</f>
        <v>69</v>
      </c>
      <c r="D464">
        <f>Sheet1!H464</f>
        <v>0.37</v>
      </c>
      <c r="E464">
        <f>Sheet1!P464</f>
        <v>93</v>
      </c>
      <c r="F464">
        <f>Sheet1!I464</f>
        <v>336905</v>
      </c>
      <c r="G464" t="str">
        <f t="shared" si="7"/>
        <v>Manual Review</v>
      </c>
    </row>
    <row r="465" spans="1:7">
      <c r="A465" t="str">
        <f>Sheet1!A465</f>
        <v>C464</v>
      </c>
      <c r="B465" t="str">
        <f>Sheet1!B465</f>
        <v>Mullins Group</v>
      </c>
      <c r="C465">
        <f>Sheet1!R465</f>
        <v>53</v>
      </c>
      <c r="D465">
        <f>Sheet1!H465</f>
        <v>1.0900000000000001</v>
      </c>
      <c r="E465">
        <f>Sheet1!P465</f>
        <v>87</v>
      </c>
      <c r="F465">
        <f>Sheet1!I465</f>
        <v>849184</v>
      </c>
      <c r="G465" t="str">
        <f t="shared" si="7"/>
        <v>Manual Review</v>
      </c>
    </row>
    <row r="466" spans="1:7">
      <c r="A466" t="str">
        <f>Sheet1!A466</f>
        <v>C465</v>
      </c>
      <c r="B466" t="str">
        <f>Sheet1!B466</f>
        <v>Stevens-Smith</v>
      </c>
      <c r="C466">
        <f>Sheet1!R466</f>
        <v>72</v>
      </c>
      <c r="D466">
        <f>Sheet1!H466</f>
        <v>0.5</v>
      </c>
      <c r="E466">
        <f>Sheet1!P466</f>
        <v>68</v>
      </c>
      <c r="F466">
        <f>Sheet1!I466</f>
        <v>753138</v>
      </c>
      <c r="G466" t="str">
        <f t="shared" si="7"/>
        <v>Approved</v>
      </c>
    </row>
    <row r="467" spans="1:7">
      <c r="A467" t="str">
        <f>Sheet1!A467</f>
        <v>C466</v>
      </c>
      <c r="B467" t="str">
        <f>Sheet1!B467</f>
        <v>Mata-Dawson</v>
      </c>
      <c r="C467">
        <f>Sheet1!R467</f>
        <v>59</v>
      </c>
      <c r="D467">
        <f>Sheet1!H467</f>
        <v>0.76</v>
      </c>
      <c r="E467">
        <f>Sheet1!P467</f>
        <v>65</v>
      </c>
      <c r="F467">
        <f>Sheet1!I467</f>
        <v>27739</v>
      </c>
      <c r="G467" t="str">
        <f t="shared" si="7"/>
        <v>Manual Review</v>
      </c>
    </row>
    <row r="468" spans="1:7">
      <c r="A468" t="str">
        <f>Sheet1!A468</f>
        <v>C467</v>
      </c>
      <c r="B468" t="str">
        <f>Sheet1!B468</f>
        <v>Paul Ltd</v>
      </c>
      <c r="C468">
        <f>Sheet1!R468</f>
        <v>57</v>
      </c>
      <c r="D468">
        <f>Sheet1!H468</f>
        <v>0.83</v>
      </c>
      <c r="E468">
        <f>Sheet1!P468</f>
        <v>98</v>
      </c>
      <c r="F468">
        <f>Sheet1!I468</f>
        <v>739137</v>
      </c>
      <c r="G468" t="str">
        <f t="shared" si="7"/>
        <v>Manual Review</v>
      </c>
    </row>
    <row r="469" spans="1:7">
      <c r="A469" t="str">
        <f>Sheet1!A469</f>
        <v>C468</v>
      </c>
      <c r="B469" t="str">
        <f>Sheet1!B469</f>
        <v>Ferguson and Sons</v>
      </c>
      <c r="C469">
        <f>Sheet1!R469</f>
        <v>62</v>
      </c>
      <c r="D469">
        <f>Sheet1!H469</f>
        <v>0.49</v>
      </c>
      <c r="E469">
        <f>Sheet1!P469</f>
        <v>79</v>
      </c>
      <c r="F469">
        <f>Sheet1!I469</f>
        <v>332449</v>
      </c>
      <c r="G469" t="str">
        <f t="shared" si="7"/>
        <v>Manual Review</v>
      </c>
    </row>
    <row r="470" spans="1:7">
      <c r="A470" t="str">
        <f>Sheet1!A470</f>
        <v>C469</v>
      </c>
      <c r="B470" t="str">
        <f>Sheet1!B470</f>
        <v>Guzman, Martinez and Mcfarland</v>
      </c>
      <c r="C470">
        <f>Sheet1!R470</f>
        <v>80</v>
      </c>
      <c r="D470">
        <f>Sheet1!H470</f>
        <v>0.28999999999999998</v>
      </c>
      <c r="E470">
        <f>Sheet1!P470</f>
        <v>79</v>
      </c>
      <c r="F470">
        <f>Sheet1!I470</f>
        <v>-50089</v>
      </c>
      <c r="G470" t="str">
        <f t="shared" si="7"/>
        <v>Approved</v>
      </c>
    </row>
    <row r="471" spans="1:7">
      <c r="A471" t="str">
        <f>Sheet1!A471</f>
        <v>C470</v>
      </c>
      <c r="B471" t="str">
        <f>Sheet1!B471</f>
        <v>Hickman, Petersen and Fuller</v>
      </c>
      <c r="C471">
        <f>Sheet1!R471</f>
        <v>72</v>
      </c>
      <c r="D471">
        <f>Sheet1!H471</f>
        <v>0.25</v>
      </c>
      <c r="E471">
        <f>Sheet1!P471</f>
        <v>74</v>
      </c>
      <c r="F471">
        <f>Sheet1!I471</f>
        <v>198928</v>
      </c>
      <c r="G471" t="str">
        <f t="shared" si="7"/>
        <v>Approved</v>
      </c>
    </row>
    <row r="472" spans="1:7">
      <c r="A472" t="str">
        <f>Sheet1!A472</f>
        <v>C471</v>
      </c>
      <c r="B472" t="str">
        <f>Sheet1!B472</f>
        <v>Cook Group</v>
      </c>
      <c r="C472">
        <f>Sheet1!R472</f>
        <v>58</v>
      </c>
      <c r="D472">
        <f>Sheet1!H472</f>
        <v>1.06</v>
      </c>
      <c r="E472">
        <f>Sheet1!P472</f>
        <v>71</v>
      </c>
      <c r="F472">
        <f>Sheet1!I472</f>
        <v>65169</v>
      </c>
      <c r="G472" t="str">
        <f t="shared" si="7"/>
        <v>Manual Review</v>
      </c>
    </row>
    <row r="473" spans="1:7">
      <c r="A473" t="str">
        <f>Sheet1!A473</f>
        <v>C472</v>
      </c>
      <c r="B473" t="str">
        <f>Sheet1!B473</f>
        <v>Mccoy-Taylor</v>
      </c>
      <c r="C473">
        <f>Sheet1!R473</f>
        <v>59</v>
      </c>
      <c r="D473">
        <f>Sheet1!H473</f>
        <v>0.76</v>
      </c>
      <c r="E473">
        <f>Sheet1!P473</f>
        <v>62</v>
      </c>
      <c r="F473">
        <f>Sheet1!I473</f>
        <v>617969</v>
      </c>
      <c r="G473" t="str">
        <f t="shared" si="7"/>
        <v>Manual Review</v>
      </c>
    </row>
    <row r="474" spans="1:7">
      <c r="A474" t="str">
        <f>Sheet1!A474</f>
        <v>C473</v>
      </c>
      <c r="B474" t="str">
        <f>Sheet1!B474</f>
        <v>Brown-Newton</v>
      </c>
      <c r="C474">
        <f>Sheet1!R474</f>
        <v>67</v>
      </c>
      <c r="D474">
        <f>Sheet1!H474</f>
        <v>0.64</v>
      </c>
      <c r="E474">
        <f>Sheet1!P474</f>
        <v>83</v>
      </c>
      <c r="F474">
        <f>Sheet1!I474</f>
        <v>163195</v>
      </c>
      <c r="G474" t="str">
        <f t="shared" si="7"/>
        <v>Manual Review</v>
      </c>
    </row>
    <row r="475" spans="1:7">
      <c r="A475" t="str">
        <f>Sheet1!A475</f>
        <v>C474</v>
      </c>
      <c r="B475" t="str">
        <f>Sheet1!B475</f>
        <v>Decker-Elliott</v>
      </c>
      <c r="C475">
        <f>Sheet1!R475</f>
        <v>56</v>
      </c>
      <c r="D475">
        <f>Sheet1!H475</f>
        <v>1.05</v>
      </c>
      <c r="E475">
        <f>Sheet1!P475</f>
        <v>99</v>
      </c>
      <c r="F475">
        <f>Sheet1!I475</f>
        <v>423448</v>
      </c>
      <c r="G475" t="str">
        <f t="shared" si="7"/>
        <v>Manual Review</v>
      </c>
    </row>
    <row r="476" spans="1:7">
      <c r="A476" t="str">
        <f>Sheet1!A476</f>
        <v>C475</v>
      </c>
      <c r="B476" t="str">
        <f>Sheet1!B476</f>
        <v>Smith and Sons</v>
      </c>
      <c r="C476">
        <f>Sheet1!R476</f>
        <v>53</v>
      </c>
      <c r="D476">
        <f>Sheet1!H476</f>
        <v>0.54</v>
      </c>
      <c r="E476">
        <f>Sheet1!P476</f>
        <v>64</v>
      </c>
      <c r="F476">
        <f>Sheet1!I476</f>
        <v>767373</v>
      </c>
      <c r="G476" t="str">
        <f t="shared" si="7"/>
        <v>Manual Review</v>
      </c>
    </row>
    <row r="477" spans="1:7">
      <c r="A477" t="str">
        <f>Sheet1!A477</f>
        <v>C476</v>
      </c>
      <c r="B477" t="str">
        <f>Sheet1!B477</f>
        <v>Pratt, Collins and Hernandez</v>
      </c>
      <c r="C477">
        <f>Sheet1!R477</f>
        <v>46</v>
      </c>
      <c r="D477">
        <f>Sheet1!H477</f>
        <v>1.05</v>
      </c>
      <c r="E477">
        <f>Sheet1!P477</f>
        <v>80</v>
      </c>
      <c r="F477">
        <f>Sheet1!I477</f>
        <v>864812</v>
      </c>
      <c r="G477" t="str">
        <f t="shared" si="7"/>
        <v>Rejected</v>
      </c>
    </row>
    <row r="478" spans="1:7">
      <c r="A478" t="str">
        <f>Sheet1!A478</f>
        <v>C477</v>
      </c>
      <c r="B478" t="str">
        <f>Sheet1!B478</f>
        <v>Nelson PLC</v>
      </c>
      <c r="C478">
        <f>Sheet1!R478</f>
        <v>61</v>
      </c>
      <c r="D478">
        <f>Sheet1!H478</f>
        <v>0.56000000000000005</v>
      </c>
      <c r="E478">
        <f>Sheet1!P478</f>
        <v>98</v>
      </c>
      <c r="F478">
        <f>Sheet1!I478</f>
        <v>400388</v>
      </c>
      <c r="G478" t="str">
        <f t="shared" si="7"/>
        <v>Manual Review</v>
      </c>
    </row>
    <row r="479" spans="1:7">
      <c r="A479" t="str">
        <f>Sheet1!A479</f>
        <v>C478</v>
      </c>
      <c r="B479" t="str">
        <f>Sheet1!B479</f>
        <v>Ingram, Waller and Nguyen</v>
      </c>
      <c r="C479">
        <f>Sheet1!R479</f>
        <v>65</v>
      </c>
      <c r="D479">
        <f>Sheet1!H479</f>
        <v>0.7</v>
      </c>
      <c r="E479">
        <f>Sheet1!P479</f>
        <v>91</v>
      </c>
      <c r="F479">
        <f>Sheet1!I479</f>
        <v>528391</v>
      </c>
      <c r="G479" t="str">
        <f t="shared" si="7"/>
        <v>Manual Review</v>
      </c>
    </row>
    <row r="480" spans="1:7">
      <c r="A480" t="str">
        <f>Sheet1!A480</f>
        <v>C479</v>
      </c>
      <c r="B480" t="str">
        <f>Sheet1!B480</f>
        <v>Daniels LLC</v>
      </c>
      <c r="C480">
        <f>Sheet1!R480</f>
        <v>58</v>
      </c>
      <c r="D480">
        <f>Sheet1!H480</f>
        <v>0.7</v>
      </c>
      <c r="E480">
        <f>Sheet1!P480</f>
        <v>61</v>
      </c>
      <c r="F480">
        <f>Sheet1!I480</f>
        <v>-83904</v>
      </c>
      <c r="G480" t="str">
        <f t="shared" si="7"/>
        <v>Manual Review</v>
      </c>
    </row>
    <row r="481" spans="1:7">
      <c r="A481" t="str">
        <f>Sheet1!A481</f>
        <v>C480</v>
      </c>
      <c r="B481" t="str">
        <f>Sheet1!B481</f>
        <v>Santos, Hall and Wood</v>
      </c>
      <c r="C481">
        <f>Sheet1!R481</f>
        <v>75</v>
      </c>
      <c r="D481">
        <f>Sheet1!H481</f>
        <v>0.22</v>
      </c>
      <c r="E481">
        <f>Sheet1!P481</f>
        <v>78</v>
      </c>
      <c r="F481">
        <f>Sheet1!I481</f>
        <v>362153</v>
      </c>
      <c r="G481" t="str">
        <f t="shared" si="7"/>
        <v>Approved</v>
      </c>
    </row>
    <row r="482" spans="1:7">
      <c r="A482" t="str">
        <f>Sheet1!A482</f>
        <v>C481</v>
      </c>
      <c r="B482" t="str">
        <f>Sheet1!B482</f>
        <v>Aguilar LLC</v>
      </c>
      <c r="C482">
        <f>Sheet1!R482</f>
        <v>80</v>
      </c>
      <c r="D482">
        <f>Sheet1!H482</f>
        <v>0.17</v>
      </c>
      <c r="E482">
        <f>Sheet1!P482</f>
        <v>81</v>
      </c>
      <c r="F482">
        <f>Sheet1!I482</f>
        <v>338657</v>
      </c>
      <c r="G482" t="str">
        <f t="shared" si="7"/>
        <v>Approved</v>
      </c>
    </row>
    <row r="483" spans="1:7">
      <c r="A483" t="str">
        <f>Sheet1!A483</f>
        <v>C482</v>
      </c>
      <c r="B483" t="str">
        <f>Sheet1!B483</f>
        <v>Hawkins, Hahn and Marsh</v>
      </c>
      <c r="C483">
        <f>Sheet1!R483</f>
        <v>59</v>
      </c>
      <c r="D483">
        <f>Sheet1!H483</f>
        <v>0.51</v>
      </c>
      <c r="E483">
        <f>Sheet1!P483</f>
        <v>65</v>
      </c>
      <c r="F483">
        <f>Sheet1!I483</f>
        <v>698801</v>
      </c>
      <c r="G483" t="str">
        <f t="shared" si="7"/>
        <v>Manual Review</v>
      </c>
    </row>
    <row r="484" spans="1:7">
      <c r="A484" t="str">
        <f>Sheet1!A484</f>
        <v>C483</v>
      </c>
      <c r="B484" t="str">
        <f>Sheet1!B484</f>
        <v>Walker-Parks</v>
      </c>
      <c r="C484">
        <f>Sheet1!R484</f>
        <v>77</v>
      </c>
      <c r="D484">
        <f>Sheet1!H484</f>
        <v>0.18</v>
      </c>
      <c r="E484">
        <f>Sheet1!P484</f>
        <v>84</v>
      </c>
      <c r="F484">
        <f>Sheet1!I484</f>
        <v>734613</v>
      </c>
      <c r="G484" t="str">
        <f t="shared" si="7"/>
        <v>Approved</v>
      </c>
    </row>
    <row r="485" spans="1:7">
      <c r="A485" t="str">
        <f>Sheet1!A485</f>
        <v>C484</v>
      </c>
      <c r="B485" t="str">
        <f>Sheet1!B485</f>
        <v>Gonzalez Ltd</v>
      </c>
      <c r="C485">
        <f>Sheet1!R485</f>
        <v>73</v>
      </c>
      <c r="D485">
        <f>Sheet1!H485</f>
        <v>0.42</v>
      </c>
      <c r="E485">
        <f>Sheet1!P485</f>
        <v>85</v>
      </c>
      <c r="F485">
        <f>Sheet1!I485</f>
        <v>-18718</v>
      </c>
      <c r="G485" t="str">
        <f t="shared" si="7"/>
        <v>Approved</v>
      </c>
    </row>
    <row r="486" spans="1:7">
      <c r="A486" t="str">
        <f>Sheet1!A486</f>
        <v>C485</v>
      </c>
      <c r="B486" t="str">
        <f>Sheet1!B486</f>
        <v>Mathis-Jones</v>
      </c>
      <c r="C486">
        <f>Sheet1!R486</f>
        <v>57</v>
      </c>
      <c r="D486">
        <f>Sheet1!H486</f>
        <v>0.63</v>
      </c>
      <c r="E486">
        <f>Sheet1!P486</f>
        <v>89</v>
      </c>
      <c r="F486">
        <f>Sheet1!I486</f>
        <v>155431</v>
      </c>
      <c r="G486" t="str">
        <f t="shared" si="7"/>
        <v>Manual Review</v>
      </c>
    </row>
    <row r="487" spans="1:7">
      <c r="A487" t="str">
        <f>Sheet1!A487</f>
        <v>C486</v>
      </c>
      <c r="B487" t="str">
        <f>Sheet1!B487</f>
        <v>Torres Ltd</v>
      </c>
      <c r="C487">
        <f>Sheet1!R487</f>
        <v>84</v>
      </c>
      <c r="D487">
        <f>Sheet1!H487</f>
        <v>0.14000000000000001</v>
      </c>
      <c r="E487">
        <f>Sheet1!P487</f>
        <v>87</v>
      </c>
      <c r="F487">
        <f>Sheet1!I487</f>
        <v>127477</v>
      </c>
      <c r="G487" t="str">
        <f t="shared" si="7"/>
        <v>Approved</v>
      </c>
    </row>
    <row r="488" spans="1:7">
      <c r="A488" t="str">
        <f>Sheet1!A488</f>
        <v>C487</v>
      </c>
      <c r="B488" t="str">
        <f>Sheet1!B488</f>
        <v>Jackson, Trevino and Smith</v>
      </c>
      <c r="C488">
        <f>Sheet1!R488</f>
        <v>56</v>
      </c>
      <c r="D488">
        <f>Sheet1!H488</f>
        <v>0.49</v>
      </c>
      <c r="E488">
        <f>Sheet1!P488</f>
        <v>61</v>
      </c>
      <c r="F488">
        <f>Sheet1!I488</f>
        <v>717834</v>
      </c>
      <c r="G488" t="str">
        <f t="shared" si="7"/>
        <v>Manual Review</v>
      </c>
    </row>
    <row r="489" spans="1:7">
      <c r="A489" t="str">
        <f>Sheet1!A489</f>
        <v>C488</v>
      </c>
      <c r="B489" t="str">
        <f>Sheet1!B489</f>
        <v>Orozco-Miller</v>
      </c>
      <c r="C489">
        <f>Sheet1!R489</f>
        <v>61</v>
      </c>
      <c r="D489">
        <f>Sheet1!H489</f>
        <v>0.87</v>
      </c>
      <c r="E489">
        <f>Sheet1!P489</f>
        <v>97</v>
      </c>
      <c r="F489">
        <f>Sheet1!I489</f>
        <v>754019</v>
      </c>
      <c r="G489" t="str">
        <f t="shared" si="7"/>
        <v>Manual Review</v>
      </c>
    </row>
    <row r="490" spans="1:7">
      <c r="A490" t="str">
        <f>Sheet1!A490</f>
        <v>C489</v>
      </c>
      <c r="B490" t="str">
        <f>Sheet1!B490</f>
        <v>Smith Ltd</v>
      </c>
      <c r="C490">
        <f>Sheet1!R490</f>
        <v>45</v>
      </c>
      <c r="D490">
        <f>Sheet1!H490</f>
        <v>1.1599999999999999</v>
      </c>
      <c r="E490">
        <f>Sheet1!P490</f>
        <v>60</v>
      </c>
      <c r="F490">
        <f>Sheet1!I490</f>
        <v>849727</v>
      </c>
      <c r="G490" t="str">
        <f t="shared" si="7"/>
        <v>Rejected</v>
      </c>
    </row>
    <row r="491" spans="1:7">
      <c r="A491" t="str">
        <f>Sheet1!A491</f>
        <v>C490</v>
      </c>
      <c r="B491" t="str">
        <f>Sheet1!B491</f>
        <v>Parsons-Mcfarland</v>
      </c>
      <c r="C491">
        <f>Sheet1!R491</f>
        <v>62</v>
      </c>
      <c r="D491">
        <f>Sheet1!H491</f>
        <v>0.72</v>
      </c>
      <c r="E491">
        <f>Sheet1!P491</f>
        <v>86</v>
      </c>
      <c r="F491">
        <f>Sheet1!I491</f>
        <v>473934</v>
      </c>
      <c r="G491" t="str">
        <f t="shared" si="7"/>
        <v>Manual Review</v>
      </c>
    </row>
    <row r="492" spans="1:7">
      <c r="A492" t="str">
        <f>Sheet1!A492</f>
        <v>C491</v>
      </c>
      <c r="B492" t="str">
        <f>Sheet1!B492</f>
        <v>Drake Group</v>
      </c>
      <c r="C492">
        <f>Sheet1!R492</f>
        <v>74</v>
      </c>
      <c r="D492">
        <f>Sheet1!H492</f>
        <v>0.2</v>
      </c>
      <c r="E492">
        <f>Sheet1!P492</f>
        <v>84</v>
      </c>
      <c r="F492">
        <f>Sheet1!I492</f>
        <v>956077</v>
      </c>
      <c r="G492" t="str">
        <f t="shared" si="7"/>
        <v>Approved</v>
      </c>
    </row>
    <row r="493" spans="1:7">
      <c r="A493" t="str">
        <f>Sheet1!A493</f>
        <v>C492</v>
      </c>
      <c r="B493" t="str">
        <f>Sheet1!B493</f>
        <v>Jackson Ltd</v>
      </c>
      <c r="C493">
        <f>Sheet1!R493</f>
        <v>59</v>
      </c>
      <c r="D493">
        <f>Sheet1!H493</f>
        <v>1.04</v>
      </c>
      <c r="E493">
        <f>Sheet1!P493</f>
        <v>89</v>
      </c>
      <c r="F493">
        <f>Sheet1!I493</f>
        <v>309796</v>
      </c>
      <c r="G493" t="str">
        <f t="shared" si="7"/>
        <v>Manual Review</v>
      </c>
    </row>
    <row r="494" spans="1:7">
      <c r="A494" t="str">
        <f>Sheet1!A494</f>
        <v>C493</v>
      </c>
      <c r="B494" t="str">
        <f>Sheet1!B494</f>
        <v>Harris, Orr and Brown</v>
      </c>
      <c r="C494">
        <f>Sheet1!R494</f>
        <v>67</v>
      </c>
      <c r="D494">
        <f>Sheet1!H494</f>
        <v>0.12</v>
      </c>
      <c r="E494">
        <f>Sheet1!P494</f>
        <v>84</v>
      </c>
      <c r="F494">
        <f>Sheet1!I494</f>
        <v>469619</v>
      </c>
      <c r="G494" t="str">
        <f t="shared" si="7"/>
        <v>Manual Review</v>
      </c>
    </row>
    <row r="495" spans="1:7">
      <c r="A495" t="str">
        <f>Sheet1!A495</f>
        <v>C494</v>
      </c>
      <c r="B495" t="str">
        <f>Sheet1!B495</f>
        <v>Harrison-Jimenez</v>
      </c>
      <c r="C495">
        <f>Sheet1!R495</f>
        <v>60</v>
      </c>
      <c r="D495">
        <f>Sheet1!H495</f>
        <v>0.22</v>
      </c>
      <c r="E495">
        <f>Sheet1!P495</f>
        <v>69</v>
      </c>
      <c r="F495">
        <f>Sheet1!I495</f>
        <v>424672</v>
      </c>
      <c r="G495" t="str">
        <f t="shared" si="7"/>
        <v>Manual Review</v>
      </c>
    </row>
    <row r="496" spans="1:7">
      <c r="A496" t="str">
        <f>Sheet1!A496</f>
        <v>C495</v>
      </c>
      <c r="B496" t="str">
        <f>Sheet1!B496</f>
        <v>Wong PLC</v>
      </c>
      <c r="C496">
        <f>Sheet1!R496</f>
        <v>64</v>
      </c>
      <c r="D496">
        <f>Sheet1!H496</f>
        <v>0.59</v>
      </c>
      <c r="E496">
        <f>Sheet1!P496</f>
        <v>82</v>
      </c>
      <c r="F496">
        <f>Sheet1!I496</f>
        <v>963416</v>
      </c>
      <c r="G496" t="str">
        <f t="shared" si="7"/>
        <v>Manual Review</v>
      </c>
    </row>
    <row r="497" spans="1:7">
      <c r="A497" t="str">
        <f>Sheet1!A497</f>
        <v>C496</v>
      </c>
      <c r="B497" t="str">
        <f>Sheet1!B497</f>
        <v>Grimes-Black</v>
      </c>
      <c r="C497">
        <f>Sheet1!R497</f>
        <v>41</v>
      </c>
      <c r="D497">
        <f>Sheet1!H497</f>
        <v>1.2</v>
      </c>
      <c r="E497">
        <f>Sheet1!P497</f>
        <v>76</v>
      </c>
      <c r="F497">
        <f>Sheet1!I497</f>
        <v>885347</v>
      </c>
      <c r="G497" t="str">
        <f t="shared" si="7"/>
        <v>Rejected</v>
      </c>
    </row>
    <row r="498" spans="1:7">
      <c r="A498" t="str">
        <f>Sheet1!A498</f>
        <v>C497</v>
      </c>
      <c r="B498" t="str">
        <f>Sheet1!B498</f>
        <v>Bond-Jones</v>
      </c>
      <c r="C498">
        <f>Sheet1!R498</f>
        <v>58</v>
      </c>
      <c r="D498">
        <f>Sheet1!H498</f>
        <v>1.02</v>
      </c>
      <c r="E498">
        <f>Sheet1!P498</f>
        <v>87</v>
      </c>
      <c r="F498">
        <f>Sheet1!I498</f>
        <v>-96678</v>
      </c>
      <c r="G498" t="str">
        <f t="shared" si="7"/>
        <v>Manual Review</v>
      </c>
    </row>
    <row r="499" spans="1:7">
      <c r="A499" t="str">
        <f>Sheet1!A499</f>
        <v>C498</v>
      </c>
      <c r="B499" t="str">
        <f>Sheet1!B499</f>
        <v>Moran, Meyers and Thompson</v>
      </c>
      <c r="C499">
        <f>Sheet1!R499</f>
        <v>69</v>
      </c>
      <c r="D499">
        <f>Sheet1!H499</f>
        <v>0.19</v>
      </c>
      <c r="E499">
        <f>Sheet1!P499</f>
        <v>95</v>
      </c>
      <c r="F499">
        <f>Sheet1!I499</f>
        <v>640341</v>
      </c>
      <c r="G499" t="str">
        <f t="shared" si="7"/>
        <v>Manual Review</v>
      </c>
    </row>
    <row r="500" spans="1:7">
      <c r="A500" t="str">
        <f>Sheet1!A500</f>
        <v>C499</v>
      </c>
      <c r="B500" t="str">
        <f>Sheet1!B500</f>
        <v>Bailey, Garcia and Dalton</v>
      </c>
      <c r="C500">
        <f>Sheet1!R500</f>
        <v>52</v>
      </c>
      <c r="D500">
        <f>Sheet1!H500</f>
        <v>1.03</v>
      </c>
      <c r="E500">
        <f>Sheet1!P500</f>
        <v>75</v>
      </c>
      <c r="F500">
        <f>Sheet1!I500</f>
        <v>122272</v>
      </c>
      <c r="G500" t="str">
        <f t="shared" si="7"/>
        <v>Manual Review</v>
      </c>
    </row>
    <row r="501" spans="1:7">
      <c r="A501" t="str">
        <f>Sheet1!A501</f>
        <v>C500</v>
      </c>
      <c r="B501" t="str">
        <f>Sheet1!B501</f>
        <v>Coleman, Harris and Tucker</v>
      </c>
      <c r="C501">
        <f>Sheet1!R501</f>
        <v>83</v>
      </c>
      <c r="D501">
        <f>Sheet1!H501</f>
        <v>0.17</v>
      </c>
      <c r="E501">
        <f>Sheet1!P501</f>
        <v>99</v>
      </c>
      <c r="F501">
        <f>Sheet1!I501</f>
        <v>590246</v>
      </c>
      <c r="G501" t="str">
        <f t="shared" si="7"/>
        <v>Approved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8D8B-4FDA-42FA-B2B3-082AC26782E3}">
  <dimension ref="A1:B11"/>
  <sheetViews>
    <sheetView workbookViewId="0">
      <selection activeCell="I17" sqref="I17"/>
    </sheetView>
  </sheetViews>
  <sheetFormatPr defaultRowHeight="14.4"/>
  <cols>
    <col min="1" max="1" width="34.77734375" customWidth="1"/>
    <col min="2" max="2" width="24.21875" style="1" customWidth="1"/>
  </cols>
  <sheetData>
    <row r="1" spans="1:2">
      <c r="A1" t="s">
        <v>1026</v>
      </c>
      <c r="B1" s="1" t="s">
        <v>1027</v>
      </c>
    </row>
    <row r="2" spans="1:2">
      <c r="A2">
        <v>0.5</v>
      </c>
      <c r="B2" s="1">
        <f>COUNTIFS(Credit_Scorecard!C:C,"&gt;=70",Credit_Scorecard!D:D,"&lt;="&amp;A2,Credit_Scorecard!E:E,"&gt;=60")/COUNTA(Credit_Scorecard!C2:C501)</f>
        <v>0.20200000000000001</v>
      </c>
    </row>
    <row r="3" spans="1:2">
      <c r="A3">
        <v>0.75</v>
      </c>
      <c r="B3" s="1">
        <f>COUNTIFS(Credit_Scorecard!C:C,"&gt;=70",Credit_Scorecard!D:D,"&lt;="&amp;A3,Credit_Scorecard!E:E,"&gt;=60")/COUNTA(Credit_Scorecard!C3:C502)</f>
        <v>0.24048096192384769</v>
      </c>
    </row>
    <row r="4" spans="1:2">
      <c r="A4">
        <v>1</v>
      </c>
      <c r="B4" s="1">
        <f>COUNTIFS(Credit_Scorecard!C:C,"&gt;=70",Credit_Scorecard!D:D,"&lt;="&amp;A4,Credit_Scorecard!E:E,"&gt;=60")/COUNTA(Credit_Scorecard!C4:C503)</f>
        <v>0.25903614457831325</v>
      </c>
    </row>
    <row r="5" spans="1:2">
      <c r="A5">
        <v>1.25</v>
      </c>
      <c r="B5" s="1">
        <f>COUNTIFS(Credit_Scorecard!C:C,"&gt;=70",Credit_Scorecard!D:D,"&lt;="&amp;A5,Credit_Scorecard!E:E,"&gt;=60")/COUNTA(Credit_Scorecard!C5:C504)</f>
        <v>0.2595573440643863</v>
      </c>
    </row>
    <row r="6" spans="1:2">
      <c r="A6">
        <v>1.5</v>
      </c>
      <c r="B6" s="1">
        <f>COUNTIFS(Credit_Scorecard!C:C,"&gt;=70",Credit_Scorecard!D:D,"&lt;="&amp;A6,Credit_Scorecard!E:E,"&gt;=60")/COUNTA(Credit_Scorecard!C6:C505)</f>
        <v>0.26008064516129031</v>
      </c>
    </row>
    <row r="7" spans="1:2">
      <c r="A7">
        <v>1.75</v>
      </c>
      <c r="B7" s="1">
        <f>COUNTIFS(Credit_Scorecard!C:C,"&gt;=70",Credit_Scorecard!D:D,"&lt;="&amp;A7,Credit_Scorecard!E:E,"&gt;=60")/COUNTA(Credit_Scorecard!C7:C506)</f>
        <v>0.26060606060606062</v>
      </c>
    </row>
    <row r="8" spans="1:2">
      <c r="A8">
        <v>2</v>
      </c>
      <c r="B8" s="1">
        <f>COUNTIFS(Credit_Scorecard!C:C,"&gt;=70",Credit_Scorecard!D:D,"&lt;="&amp;A8,Credit_Scorecard!E:E,"&gt;=60")/COUNTA(Credit_Scorecard!C8:C507)</f>
        <v>0.26113360323886642</v>
      </c>
    </row>
    <row r="9" spans="1:2">
      <c r="A9">
        <v>2.25</v>
      </c>
      <c r="B9" s="1">
        <f>COUNTIFS(Credit_Scorecard!C:C,"&gt;=70",Credit_Scorecard!D:D,"&lt;="&amp;A9,Credit_Scorecard!E:E,"&gt;=60")/COUNTA(Credit_Scorecard!C9:C508)</f>
        <v>0.26166328600405681</v>
      </c>
    </row>
    <row r="10" spans="1:2">
      <c r="A10">
        <v>2.5</v>
      </c>
      <c r="B10" s="1">
        <f>COUNTIFS(Credit_Scorecard!C:C,"&gt;=70",Credit_Scorecard!D:D,"&lt;="&amp;A10,Credit_Scorecard!E:E,"&gt;=60")/COUNTA(Credit_Scorecard!C10:C509)</f>
        <v>0.26219512195121952</v>
      </c>
    </row>
    <row r="11" spans="1:2">
      <c r="A11">
        <v>3</v>
      </c>
      <c r="B11" s="1">
        <f>COUNTIFS(Credit_Scorecard!C:C,"&gt;=70",Credit_Scorecard!D:D,"&lt;="&amp;A11,Credit_Scorecard!E:E,"&gt;=60")/COUNTA(Credit_Scorecard!C11:C510)</f>
        <v>0.26272912423625255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5357-E825-4D17-993F-055B6F969CE1}">
  <dimension ref="A1:K30"/>
  <sheetViews>
    <sheetView tabSelected="1" zoomScale="69" workbookViewId="0">
      <selection activeCell="P17" sqref="P17"/>
    </sheetView>
  </sheetViews>
  <sheetFormatPr defaultRowHeight="14.4"/>
  <cols>
    <col min="2" max="2" width="30.33203125" bestFit="1" customWidth="1"/>
    <col min="3" max="3" width="15.77734375" customWidth="1"/>
    <col min="4" max="4" width="3.109375" customWidth="1"/>
    <col min="5" max="5" width="2.109375" customWidth="1"/>
    <col min="6" max="6" width="3.44140625" customWidth="1"/>
    <col min="7" max="7" width="2.88671875" customWidth="1"/>
    <col min="8" max="8" width="2.44140625" customWidth="1"/>
    <col min="9" max="9" width="30.33203125" bestFit="1" customWidth="1"/>
    <col min="10" max="10" width="17.44140625" customWidth="1"/>
  </cols>
  <sheetData>
    <row r="1" spans="1:11" ht="39.6" customHeight="1">
      <c r="A1" s="17" t="s">
        <v>1037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" customHeight="1">
      <c r="A2" s="19" t="s">
        <v>1036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8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8" customHeight="1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43.8" customHeight="1" thickBot="1">
      <c r="A5" s="8"/>
      <c r="B5" s="3" t="s">
        <v>1028</v>
      </c>
      <c r="C5" s="4">
        <f>COUNTA(Credit_Scorecard!A2:A501)</f>
        <v>500</v>
      </c>
      <c r="D5" s="8"/>
      <c r="E5" s="8"/>
      <c r="F5" s="8"/>
      <c r="G5" s="8"/>
      <c r="H5" s="8"/>
      <c r="I5" s="3" t="s">
        <v>1030</v>
      </c>
      <c r="J5" s="6">
        <f>AVERAGE(Credit_Scorecard!C2:C501)</f>
        <v>63.554000000000002</v>
      </c>
      <c r="K5" s="8"/>
    </row>
    <row r="6" spans="1:11" ht="45.6" customHeight="1" thickBot="1">
      <c r="A6" s="8"/>
      <c r="B6" s="3" t="s">
        <v>1029</v>
      </c>
      <c r="C6" s="5">
        <f>COUNTIF(Credit_Scorecard!G:G,"Approved")/COUNTA(Credit_Scorecard!A2:A501)</f>
        <v>0.25800000000000001</v>
      </c>
      <c r="D6" s="8"/>
      <c r="E6" s="8"/>
      <c r="F6" s="8"/>
      <c r="G6" s="8"/>
      <c r="H6" s="8"/>
      <c r="I6" s="3" t="s">
        <v>1031</v>
      </c>
      <c r="J6" s="6">
        <f ca="1">AVERAGEIF(Credit_Scorecard!G:G,"Approved",Sheet1!N2:N501)</f>
        <v>4275.5859375</v>
      </c>
      <c r="K6" s="8"/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28.2" customHeight="1">
      <c r="A10" s="9"/>
      <c r="B10" s="10" t="s">
        <v>18</v>
      </c>
      <c r="C10" s="11" t="s">
        <v>1032</v>
      </c>
      <c r="D10" s="8"/>
      <c r="E10" s="8"/>
      <c r="F10" s="8"/>
      <c r="G10" s="8"/>
      <c r="H10" s="8"/>
      <c r="I10" s="12" t="s">
        <v>18</v>
      </c>
      <c r="J10" s="13" t="s">
        <v>1038</v>
      </c>
      <c r="K10" s="8"/>
    </row>
    <row r="11" spans="1:11">
      <c r="A11" s="8"/>
      <c r="B11" s="8" t="s">
        <v>1033</v>
      </c>
      <c r="C11" s="14">
        <f>COUNTIF(Credit_Scorecard!G:G,"Approved")</f>
        <v>129</v>
      </c>
      <c r="D11" s="8"/>
      <c r="E11" s="8"/>
      <c r="F11" s="8"/>
      <c r="G11" s="8"/>
      <c r="H11" s="8"/>
      <c r="I11" s="15" t="s">
        <v>1033</v>
      </c>
      <c r="J11" s="14">
        <f ca="1">AVERAGEIF(Credit_Scorecard!G:G,"Approved",Sheet1!N2:N501)</f>
        <v>4275.5859375</v>
      </c>
      <c r="K11" s="8"/>
    </row>
    <row r="12" spans="1:11">
      <c r="A12" s="8"/>
      <c r="B12" s="8" t="s">
        <v>1034</v>
      </c>
      <c r="C12" s="14">
        <f>COUNTIF(Credit_Scorecard!G:G,"Manual Review")</f>
        <v>339</v>
      </c>
      <c r="D12" s="8"/>
      <c r="E12" s="8"/>
      <c r="F12" s="8"/>
      <c r="G12" s="8"/>
      <c r="H12" s="8"/>
      <c r="I12" s="15" t="s">
        <v>1034</v>
      </c>
      <c r="J12" s="14">
        <f ca="1">AVERAGEIF(Credit_Scorecard!G:G,"Manual Review",Sheet1!N2:N501)</f>
        <v>4275.2713864306788</v>
      </c>
      <c r="K12" s="8"/>
    </row>
    <row r="13" spans="1:11">
      <c r="A13" s="8"/>
      <c r="B13" s="8" t="s">
        <v>1035</v>
      </c>
      <c r="C13" s="14">
        <f>COUNTIF(Credit_Scorecard!G:G,"Rejected")</f>
        <v>32</v>
      </c>
      <c r="D13" s="8"/>
      <c r="E13" s="8"/>
      <c r="F13" s="8"/>
      <c r="G13" s="8"/>
      <c r="H13" s="8"/>
      <c r="I13" s="16" t="s">
        <v>1035</v>
      </c>
      <c r="J13" s="14">
        <f ca="1">AVERAGEIF(Credit_Scorecard!G:G,"Rejected",Sheet1!N2:N501)</f>
        <v>4451.71875</v>
      </c>
      <c r="K13" s="8"/>
    </row>
    <row r="14" spans="1:1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</sheetData>
  <mergeCells count="2">
    <mergeCell ref="A1:K1"/>
    <mergeCell ref="A2:K2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Ratio_Analysis</vt:lpstr>
      <vt:lpstr>Credit_Scorecard</vt:lpstr>
      <vt:lpstr>Sensitivity_Analysis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Sanchetna Girdhar</cp:lastModifiedBy>
  <dcterms:created xsi:type="dcterms:W3CDTF">2026-06-11T16:58:56Z</dcterms:created>
  <dcterms:modified xsi:type="dcterms:W3CDTF">2026-07-24T17:48:42Z</dcterms:modified>
</cp:coreProperties>
</file>